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b025\Documents\Research\Principal DSS\Fall 2019 Placement\"/>
    </mc:Choice>
  </mc:AlternateContent>
  <bookViews>
    <workbookView xWindow="0" yWindow="0" windowWidth="28800" windowHeight="11985" activeTab="2"/>
  </bookViews>
  <sheets>
    <sheet name="Data Sheet" sheetId="1" r:id="rId1"/>
    <sheet name="AssignmentModel" sheetId="2" r:id="rId2"/>
    <sheet name="StudentToClassAssignments" sheetId="5" r:id="rId3"/>
  </sheets>
  <definedNames>
    <definedName name="DecVars">AssignmentModel!$X$4:$AE$223</definedName>
    <definedName name="OpenSolver_ChosenSolver" localSheetId="1" hidden="1">CBC</definedName>
    <definedName name="OpenSolver_ChosenSolver" localSheetId="0" hidden="1">CBC</definedName>
    <definedName name="OpenSolver_DualsNewSheet" localSheetId="1" hidden="1">0</definedName>
    <definedName name="OpenSolver_LinearityCheck" localSheetId="1" hidden="1">1</definedName>
    <definedName name="OpenSolver_LinearityCheck" localSheetId="0" hidden="1">1</definedName>
    <definedName name="OpenSolver_UpdateSensitivity" localSheetId="1" hidden="1">0</definedName>
    <definedName name="ProbStud">AssignmentModel!$H$4:$H$223</definedName>
    <definedName name="ProficLike">AssignmentModel!$L$4:$L$223</definedName>
    <definedName name="solver_adj" localSheetId="1" hidden="1">AssignmentModel!$X$4:$AE$223,AssignmentModel!$X$291:$AE$291,AssignmentModel!$X$294:$AE$294,AssignmentModel!$X$297:$AE$297,AssignmentModel!$X$300:$AE$300,AssignmentModel!$X$303:$AE$303,AssignmentModel!$X$306:$AE$306,AssignmentModel!$X$309:$AE$309,AssignmentModel!$X$312:$AE$312,AssignmentModel!$X$315:$AE$315,AssignmentModel!$X$318:$AE$318</definedName>
    <definedName name="solver_chc1" localSheetId="1" hidden="1">0</definedName>
    <definedName name="solver_chc10" localSheetId="1" hidden="1">0</definedName>
    <definedName name="solver_chc11" localSheetId="1" hidden="1">0</definedName>
    <definedName name="solver_chc2" localSheetId="1" hidden="1">0</definedName>
    <definedName name="solver_chc3" localSheetId="1" hidden="1">0</definedName>
    <definedName name="solver_chc4" localSheetId="1" hidden="1">0</definedName>
    <definedName name="solver_chc5" localSheetId="1" hidden="1">0</definedName>
    <definedName name="solver_chc6" localSheetId="1" hidden="1">0</definedName>
    <definedName name="solver_chc7" localSheetId="1" hidden="1">0</definedName>
    <definedName name="solver_chc8" localSheetId="1" hidden="1">0</definedName>
    <definedName name="solver_chc9" localSheetId="1" hidden="1">0</definedName>
    <definedName name="solver_chp1" localSheetId="1" hidden="1">0</definedName>
    <definedName name="solver_chp10" localSheetId="1" hidden="1">0</definedName>
    <definedName name="solver_chp11" localSheetId="1" hidden="1">0</definedName>
    <definedName name="solver_chp2" localSheetId="1" hidden="1">0</definedName>
    <definedName name="solver_chp3" localSheetId="1" hidden="1">0</definedName>
    <definedName name="solver_chp4" localSheetId="1" hidden="1">0</definedName>
    <definedName name="solver_chp5" localSheetId="1" hidden="1">0</definedName>
    <definedName name="solver_chp6" localSheetId="1" hidden="1">0</definedName>
    <definedName name="solver_chp7" localSheetId="1" hidden="1">0</definedName>
    <definedName name="solver_chp8" localSheetId="1" hidden="1">0</definedName>
    <definedName name="solver_chp9" localSheetId="1" hidden="1">0</definedName>
    <definedName name="solver_cir1" localSheetId="1" hidden="1">1</definedName>
    <definedName name="solver_cir10" localSheetId="1" hidden="1">1</definedName>
    <definedName name="solver_cir11" localSheetId="1" hidden="1">1</definedName>
    <definedName name="solver_cir2" localSheetId="1" hidden="1">1</definedName>
    <definedName name="solver_cir3" localSheetId="1" hidden="1">1</definedName>
    <definedName name="solver_cir4" localSheetId="1" hidden="1">1</definedName>
    <definedName name="solver_cir5" localSheetId="1" hidden="1">1</definedName>
    <definedName name="solver_cir6" localSheetId="1" hidden="1">1</definedName>
    <definedName name="solver_cir7" localSheetId="1" hidden="1">1</definedName>
    <definedName name="solver_cir8" localSheetId="1" hidden="1">1</definedName>
    <definedName name="solver_cir9" localSheetId="1" hidden="1">1</definedName>
    <definedName name="solver_con1" localSheetId="1" hidden="1">"Total Classes per Student = 1"</definedName>
    <definedName name="solver_con10" localSheetId="1" hidden="1">"MIN DISC per Class"</definedName>
    <definedName name="solver_con11" localSheetId="1" hidden="1">" "</definedName>
    <definedName name="solver_con2" localSheetId="1" hidden="1">"IEP (GEIP) Students Must be those class types"</definedName>
    <definedName name="solver_con3" localSheetId="1" hidden="1">"Min Class Size"</definedName>
    <definedName name="solver_con4" localSheetId="1" hidden="1">"Max Class Size"</definedName>
    <definedName name="solver_con5" localSheetId="1" hidden="1">"Max Males "</definedName>
    <definedName name="solver_con6" localSheetId="1" hidden="1">"MIN males"</definedName>
    <definedName name="solver_con7" localSheetId="1" hidden="1">"MAX ED SUP per Class"</definedName>
    <definedName name="solver_con8" localSheetId="1" hidden="1">"MIN ED Sup per Class"</definedName>
    <definedName name="solver_con9" localSheetId="1" hidden="1">"Max DISC per class"</definedName>
    <definedName name="solver_cvg" localSheetId="1" hidden="1">0.0001</definedName>
    <definedName name="solver_drv" localSheetId="1" hidden="1">2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_ob1" localSheetId="1" hidden="1">0</definedName>
    <definedName name="solver_lhs_ob10" localSheetId="1" hidden="1">0</definedName>
    <definedName name="solver_lhs_ob11" localSheetId="1" hidden="1">0</definedName>
    <definedName name="solver_lhs_ob2" localSheetId="1" hidden="1">0</definedName>
    <definedName name="solver_lhs_ob3" localSheetId="1" hidden="1">0</definedName>
    <definedName name="solver_lhs_ob4" localSheetId="1" hidden="1">0</definedName>
    <definedName name="solver_lhs_ob5" localSheetId="1" hidden="1">0</definedName>
    <definedName name="solver_lhs_ob6" localSheetId="1" hidden="1">0</definedName>
    <definedName name="solver_lhs_ob7" localSheetId="1" hidden="1">0</definedName>
    <definedName name="solver_lhs_ob8" localSheetId="1" hidden="1">0</definedName>
    <definedName name="solver_lhs_ob9" localSheetId="1" hidden="1">0</definedName>
    <definedName name="solver_lhs1" localSheetId="1" hidden="1">AssignmentModel!$AG$4:$AG$223</definedName>
    <definedName name="solver_lhs10" localSheetId="1" hidden="1">AssignmentModel!$X$311:$AE$311</definedName>
    <definedName name="solver_lhs11" localSheetId="1" hidden="1">AssignmentModel!$X$310:$AE$310</definedName>
    <definedName name="solver_lhs12" localSheetId="1" hidden="1">AssignmentModel!$X$308:$AE$308</definedName>
    <definedName name="solver_lhs13" localSheetId="1" hidden="1">AssignmentModel!$X$4:$AE$223</definedName>
    <definedName name="solver_lhs14" localSheetId="1" hidden="1">AssignmentModel!$X$307:$AE$307</definedName>
    <definedName name="solver_lhs15" localSheetId="1" hidden="1">AssignmentModel!$X$305:$AE$305</definedName>
    <definedName name="solver_lhs16" localSheetId="1" hidden="1">AssignmentModel!$X$304:$AE$304</definedName>
    <definedName name="solver_lhs17" localSheetId="1" hidden="1">AssignmentModel!$X$302:$AE$302</definedName>
    <definedName name="solver_lhs18" localSheetId="1" hidden="1">AssignmentModel!$X$301:$AE$301</definedName>
    <definedName name="solver_lhs19" localSheetId="1" hidden="1">AssignmentModel!$X$299:$AE$299</definedName>
    <definedName name="solver_lhs2" localSheetId="1" hidden="1">AssignmentModel!$AI$4:$AI$223</definedName>
    <definedName name="solver_lhs20" localSheetId="1" hidden="1">AssignmentModel!$X$298:$AE$298</definedName>
    <definedName name="solver_lhs21" localSheetId="1" hidden="1">AssignmentModel!$X$295:$AE$295</definedName>
    <definedName name="solver_lhs22" localSheetId="1" hidden="1">AssignmentModel!$X$293:$AE$293</definedName>
    <definedName name="solver_lhs23" localSheetId="1" hidden="1">AssignmentModel!$X$296:$AE$296</definedName>
    <definedName name="solver_lhs24" localSheetId="1" hidden="1">AssignmentModel!$AQ$4:$AQ$223</definedName>
    <definedName name="solver_lhs25" localSheetId="1" hidden="1">AssignmentModel!$AO$4:$AO$223</definedName>
    <definedName name="solver_lhs3" localSheetId="1" hidden="1">AssignmentModel!$X$289:$AE$289</definedName>
    <definedName name="solver_lhs4" localSheetId="1" hidden="1">AssignmentModel!$X$290:$AE$290</definedName>
    <definedName name="solver_lhs5" localSheetId="1" hidden="1">AssignmentModel!$X$292:$AE$292</definedName>
    <definedName name="solver_lhs6" localSheetId="1" hidden="1">AssignmentModel!$X$317:$AE$317</definedName>
    <definedName name="solver_lhs7" localSheetId="1" hidden="1">AssignmentModel!$X$316:$AE$316</definedName>
    <definedName name="solver_lhs8" localSheetId="1" hidden="1">AssignmentModel!$X$314:$AE$314</definedName>
    <definedName name="solver_lhs9" localSheetId="1" hidden="1">AssignmentModel!$X$313:$AE$313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25</definedName>
    <definedName name="solver_nwt" localSheetId="1" hidden="1">1</definedName>
    <definedName name="solver_opt" localSheetId="1" hidden="1">AssignmentModel!$W$322</definedName>
    <definedName name="solver_pre" localSheetId="1" hidden="1">0.000001</definedName>
    <definedName name="solver_rbv" localSheetId="1" hidden="1">2</definedName>
    <definedName name="solver_reco1" localSheetId="1" hidden="1">0</definedName>
    <definedName name="solver_reco10" localSheetId="1" hidden="1">0</definedName>
    <definedName name="solver_reco11" localSheetId="1" hidden="1">0</definedName>
    <definedName name="solver_reco2" localSheetId="1" hidden="1">0</definedName>
    <definedName name="solver_reco3" localSheetId="1" hidden="1">0</definedName>
    <definedName name="solver_reco4" localSheetId="1" hidden="1">0</definedName>
    <definedName name="solver_reco5" localSheetId="1" hidden="1">0</definedName>
    <definedName name="solver_reco6" localSheetId="1" hidden="1">0</definedName>
    <definedName name="solver_reco7" localSheetId="1" hidden="1">0</definedName>
    <definedName name="solver_reco8" localSheetId="1" hidden="1">0</definedName>
    <definedName name="solver_reco9" localSheetId="1" hidden="1">0</definedName>
    <definedName name="solver_rel1" localSheetId="1" hidden="1">2</definedName>
    <definedName name="solver_rel10" localSheetId="1" hidden="1">1</definedName>
    <definedName name="solver_rel11" localSheetId="1" hidden="1">1</definedName>
    <definedName name="solver_rel12" localSheetId="1" hidden="1">1</definedName>
    <definedName name="solver_rel13" localSheetId="1" hidden="1">5</definedName>
    <definedName name="solver_rel14" localSheetId="1" hidden="1">1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1</definedName>
    <definedName name="solver_rel2" localSheetId="1" hidden="1">2</definedName>
    <definedName name="solver_rel20" localSheetId="1" hidden="1">1</definedName>
    <definedName name="solver_rel21" localSheetId="1" hidden="1">1</definedName>
    <definedName name="solver_rel22" localSheetId="1" hidden="1">1</definedName>
    <definedName name="solver_rel23" localSheetId="1" hidden="1">1</definedName>
    <definedName name="solver_rel24" localSheetId="1" hidden="1">2</definedName>
    <definedName name="solver_rel25" localSheetId="1" hidden="1">2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el6" localSheetId="1" hidden="1">1</definedName>
    <definedName name="solver_rel7" localSheetId="1" hidden="1">1</definedName>
    <definedName name="solver_rel8" localSheetId="1" hidden="1">1</definedName>
    <definedName name="solver_rel9" localSheetId="1" hidden="1">1</definedName>
    <definedName name="solver_rhs1" localSheetId="1" hidden="1">AssignmentModel!$AH$4:$AH$223</definedName>
    <definedName name="solver_rhs10" localSheetId="1" hidden="1">AssignmentModel!$X$312:$AE$312</definedName>
    <definedName name="solver_rhs11" localSheetId="1" hidden="1">AssignmentModel!$X$312:$AE$312</definedName>
    <definedName name="solver_rhs12" localSheetId="1" hidden="1">AssignmentModel!$X$309:$AE$309</definedName>
    <definedName name="solver_rhs13" localSheetId="1" hidden="1">binary</definedName>
    <definedName name="solver_rhs14" localSheetId="1" hidden="1">AssignmentModel!$X$309:$AE$309</definedName>
    <definedName name="solver_rhs15" localSheetId="1" hidden="1">AssignmentModel!$X$306:$AE$306</definedName>
    <definedName name="solver_rhs16" localSheetId="1" hidden="1">AssignmentModel!$X$306:$AE$306</definedName>
    <definedName name="solver_rhs17" localSheetId="1" hidden="1">AssignmentModel!$X$303:$AE$303</definedName>
    <definedName name="solver_rhs18" localSheetId="1" hidden="1">AssignmentModel!$X$303:$AE$303</definedName>
    <definedName name="solver_rhs19" localSheetId="1" hidden="1">AssignmentModel!$X$300:$AE$300</definedName>
    <definedName name="solver_rhs2" localSheetId="1" hidden="1">AssignmentModel!$AJ$4:$AJ$223</definedName>
    <definedName name="solver_rhs20" localSheetId="1" hidden="1">AssignmentModel!$X$300:$AE$300</definedName>
    <definedName name="solver_rhs21" localSheetId="1" hidden="1">AssignmentModel!$X$297:$AE$297</definedName>
    <definedName name="solver_rhs22" localSheetId="1" hidden="1">AssignmentModel!$X$294:$AE$294</definedName>
    <definedName name="solver_rhs23" localSheetId="1" hidden="1">AssignmentModel!$X$297:$AE$297</definedName>
    <definedName name="solver_rhs24" localSheetId="1" hidden="1">0</definedName>
    <definedName name="solver_rhs25" localSheetId="1" hidden="1">AssignmentModel!$AP$4:$AP$223</definedName>
    <definedName name="solver_rhs3" localSheetId="1" hidden="1">AssignmentModel!$X$291:$AE$291</definedName>
    <definedName name="solver_rhs4" localSheetId="1" hidden="1">AssignmentModel!$X$291:$AE$291</definedName>
    <definedName name="solver_rhs5" localSheetId="1" hidden="1">AssignmentModel!$X$294:$AE$294</definedName>
    <definedName name="solver_rhs6" localSheetId="1" hidden="1">AssignmentModel!$X$318:$AE$318</definedName>
    <definedName name="solver_rhs7" localSheetId="1" hidden="1">AssignmentModel!$X$318:$AE$318</definedName>
    <definedName name="solver_rhs8" localSheetId="1" hidden="1">AssignmentModel!$X$315:$AE$315</definedName>
    <definedName name="solver_rhs9" localSheetId="1" hidden="1">AssignmentModel!$X$315:$AE$315</definedName>
    <definedName name="solver_rlx" localSheetId="1" hidden="1">2</definedName>
    <definedName name="solver_rsd" localSheetId="1" hidden="1">0</definedName>
    <definedName name="solver_rxc1" localSheetId="1" hidden="1">1</definedName>
    <definedName name="solver_rxc10" localSheetId="1" hidden="1">1</definedName>
    <definedName name="solver_rxc11" localSheetId="1" hidden="1">1</definedName>
    <definedName name="solver_rxc2" localSheetId="1" hidden="1">1</definedName>
    <definedName name="solver_rxc3" localSheetId="1" hidden="1">1</definedName>
    <definedName name="solver_rxc4" localSheetId="1" hidden="1">1</definedName>
    <definedName name="solver_rxc5" localSheetId="1" hidden="1">1</definedName>
    <definedName name="solver_rxc6" localSheetId="1" hidden="1">1</definedName>
    <definedName name="solver_rxc7" localSheetId="1" hidden="1">1</definedName>
    <definedName name="solver_rxc8" localSheetId="1" hidden="1">1</definedName>
    <definedName name="solver_rxc9" localSheetId="1" hidden="1">1</definedName>
    <definedName name="solver_scl" localSheetId="1" hidden="1">2</definedName>
    <definedName name="solver_sho" localSheetId="1" hidden="1">0</definedName>
    <definedName name="solver_ssz" localSheetId="1" hidden="1">100</definedName>
    <definedName name="solver_tim" localSheetId="1" hidden="1">30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userid" localSheetId="1" hidden="1">" "</definedName>
    <definedName name="solver_val" localSheetId="1" hidden="1">0</definedName>
    <definedName name="solver_ver" localSheetId="1" hidden="1">3</definedName>
    <definedName name="solver_ver" localSheetId="0" hidden="1">16</definedName>
    <definedName name="StudAssignName">StudentToClassAssignments!$D$16:$K$45</definedName>
    <definedName name="StudNames">AssignmentModel!$A$4:$A$223</definedName>
    <definedName name="VAMpred">AssignmentModel!$K$4:$K$223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N2" i="2"/>
  <c r="X2" i="2" s="1"/>
  <c r="D3" i="5" s="1"/>
  <c r="D15" i="5" s="1"/>
  <c r="O2" i="2"/>
  <c r="Y2" i="2" s="1"/>
  <c r="P2" i="2"/>
  <c r="Z2" i="2" s="1"/>
  <c r="F3" i="5" s="1"/>
  <c r="F15" i="5" s="1"/>
  <c r="Q2" i="2"/>
  <c r="AA2" i="2" s="1"/>
  <c r="G3" i="5" s="1"/>
  <c r="G15" i="5" s="1"/>
  <c r="R2" i="2"/>
  <c r="AB2" i="2" s="1"/>
  <c r="H3" i="5" s="1"/>
  <c r="H15" i="5" s="1"/>
  <c r="S2" i="2"/>
  <c r="AC2" i="2" s="1"/>
  <c r="T2" i="2"/>
  <c r="AD2" i="2" s="1"/>
  <c r="J3" i="5" s="1"/>
  <c r="J15" i="5" s="1"/>
  <c r="U2" i="2"/>
  <c r="AE2" i="2" s="1"/>
  <c r="K3" i="5" s="1"/>
  <c r="K15" i="5" s="1"/>
  <c r="A5" i="2"/>
  <c r="AH5" i="2" s="1"/>
  <c r="A6" i="2"/>
  <c r="A7" i="2"/>
  <c r="A8" i="2"/>
  <c r="AH8" i="2" s="1"/>
  <c r="A9" i="2"/>
  <c r="AH9" i="2" s="1"/>
  <c r="A10" i="2"/>
  <c r="A11" i="2"/>
  <c r="A12" i="2"/>
  <c r="A13" i="2"/>
  <c r="AH13" i="2" s="1"/>
  <c r="A14" i="2"/>
  <c r="A15" i="2"/>
  <c r="A16" i="2"/>
  <c r="AH16" i="2" s="1"/>
  <c r="A17" i="2"/>
  <c r="AH17" i="2" s="1"/>
  <c r="A18" i="2"/>
  <c r="A19" i="2"/>
  <c r="A20" i="2"/>
  <c r="A21" i="2"/>
  <c r="AH21" i="2" s="1"/>
  <c r="A22" i="2"/>
  <c r="A23" i="2"/>
  <c r="A24" i="2"/>
  <c r="AH24" i="2" s="1"/>
  <c r="A25" i="2"/>
  <c r="AH25" i="2" s="1"/>
  <c r="A26" i="2"/>
  <c r="A27" i="2"/>
  <c r="A28" i="2"/>
  <c r="A29" i="2"/>
  <c r="AH29" i="2" s="1"/>
  <c r="A30" i="2"/>
  <c r="AH30" i="2" s="1"/>
  <c r="A31" i="2"/>
  <c r="A32" i="2"/>
  <c r="AH32" i="2" s="1"/>
  <c r="A33" i="2"/>
  <c r="AH33" i="2" s="1"/>
  <c r="A34" i="2"/>
  <c r="A35" i="2"/>
  <c r="A36" i="2"/>
  <c r="A37" i="2"/>
  <c r="AH37" i="2" s="1"/>
  <c r="A38" i="2"/>
  <c r="A39" i="2"/>
  <c r="A40" i="2"/>
  <c r="AH40" i="2" s="1"/>
  <c r="A41" i="2"/>
  <c r="A42" i="2"/>
  <c r="A43" i="2"/>
  <c r="A44" i="2"/>
  <c r="AH44" i="2" s="1"/>
  <c r="A45" i="2"/>
  <c r="AH45" i="2" s="1"/>
  <c r="A46" i="2"/>
  <c r="A47" i="2"/>
  <c r="AH47" i="2" s="1"/>
  <c r="A48" i="2"/>
  <c r="AH48" i="2" s="1"/>
  <c r="A49" i="2"/>
  <c r="A50" i="2"/>
  <c r="A51" i="2"/>
  <c r="A52" i="2"/>
  <c r="A53" i="2"/>
  <c r="A54" i="2"/>
  <c r="A55" i="2"/>
  <c r="AH55" i="2" s="1"/>
  <c r="A56" i="2"/>
  <c r="AH56" i="2" s="1"/>
  <c r="A57" i="2"/>
  <c r="AH57" i="2" s="1"/>
  <c r="A58" i="2"/>
  <c r="AH58" i="2" s="1"/>
  <c r="A59" i="2"/>
  <c r="A60" i="2"/>
  <c r="A61" i="2"/>
  <c r="AH61" i="2" s="1"/>
  <c r="A62" i="2"/>
  <c r="AH62" i="2" s="1"/>
  <c r="A63" i="2"/>
  <c r="AH63" i="2" s="1"/>
  <c r="A64" i="2"/>
  <c r="AH64" i="2" s="1"/>
  <c r="A65" i="2"/>
  <c r="AH65" i="2" s="1"/>
  <c r="A66" i="2"/>
  <c r="A67" i="2"/>
  <c r="A68" i="2"/>
  <c r="A69" i="2"/>
  <c r="AH69" i="2" s="1"/>
  <c r="A70" i="2"/>
  <c r="AH70" i="2" s="1"/>
  <c r="A71" i="2"/>
  <c r="AH71" i="2" s="1"/>
  <c r="A72" i="2"/>
  <c r="AH72" i="2" s="1"/>
  <c r="A73" i="2"/>
  <c r="AH73" i="2" s="1"/>
  <c r="A74" i="2"/>
  <c r="A75" i="2"/>
  <c r="A76" i="2"/>
  <c r="A77" i="2"/>
  <c r="AH77" i="2" s="1"/>
  <c r="A78" i="2"/>
  <c r="AH78" i="2" s="1"/>
  <c r="A79" i="2"/>
  <c r="A80" i="2"/>
  <c r="AH80" i="2" s="1"/>
  <c r="A81" i="2"/>
  <c r="AH81" i="2" s="1"/>
  <c r="A82" i="2"/>
  <c r="A83" i="2"/>
  <c r="A84" i="2"/>
  <c r="A85" i="2"/>
  <c r="AH85" i="2" s="1"/>
  <c r="A86" i="2"/>
  <c r="AH86" i="2" s="1"/>
  <c r="A87" i="2"/>
  <c r="A88" i="2"/>
  <c r="AH88" i="2" s="1"/>
  <c r="A89" i="2"/>
  <c r="AH89" i="2" s="1"/>
  <c r="A90" i="2"/>
  <c r="A91" i="2"/>
  <c r="A92" i="2"/>
  <c r="A93" i="2"/>
  <c r="AH93" i="2" s="1"/>
  <c r="A94" i="2"/>
  <c r="AH94" i="2" s="1"/>
  <c r="A95" i="2"/>
  <c r="A96" i="2"/>
  <c r="AH96" i="2" s="1"/>
  <c r="A97" i="2"/>
  <c r="AH97" i="2" s="1"/>
  <c r="A98" i="2"/>
  <c r="A99" i="2"/>
  <c r="A100" i="2"/>
  <c r="A101" i="2"/>
  <c r="AH101" i="2" s="1"/>
  <c r="A102" i="2"/>
  <c r="AH102" i="2" s="1"/>
  <c r="A103" i="2"/>
  <c r="A104" i="2"/>
  <c r="AH104" i="2" s="1"/>
  <c r="A105" i="2"/>
  <c r="AH105" i="2" s="1"/>
  <c r="A106" i="2"/>
  <c r="A107" i="2"/>
  <c r="A108" i="2"/>
  <c r="AH108" i="2" s="1"/>
  <c r="A109" i="2"/>
  <c r="AH109" i="2" s="1"/>
  <c r="A110" i="2"/>
  <c r="A111" i="2"/>
  <c r="A112" i="2"/>
  <c r="AH112" i="2" s="1"/>
  <c r="A113" i="2"/>
  <c r="AH113" i="2" s="1"/>
  <c r="A114" i="2"/>
  <c r="A115" i="2"/>
  <c r="A116" i="2"/>
  <c r="AH116" i="2" s="1"/>
  <c r="A117" i="2"/>
  <c r="AH117" i="2" s="1"/>
  <c r="A118" i="2"/>
  <c r="A119" i="2"/>
  <c r="A120" i="2"/>
  <c r="AH120" i="2" s="1"/>
  <c r="A121" i="2"/>
  <c r="AH121" i="2" s="1"/>
  <c r="A122" i="2"/>
  <c r="AH122" i="2" s="1"/>
  <c r="A123" i="2"/>
  <c r="AH123" i="2" s="1"/>
  <c r="A124" i="2"/>
  <c r="AH124" i="2" s="1"/>
  <c r="A125" i="2"/>
  <c r="AH125" i="2" s="1"/>
  <c r="A126" i="2"/>
  <c r="A127" i="2"/>
  <c r="AH127" i="2" s="1"/>
  <c r="A128" i="2"/>
  <c r="AH128" i="2" s="1"/>
  <c r="A129" i="2"/>
  <c r="AH129" i="2" s="1"/>
  <c r="A130" i="2"/>
  <c r="AH130" i="2" s="1"/>
  <c r="A131" i="2"/>
  <c r="AH131" i="2" s="1"/>
  <c r="A132" i="2"/>
  <c r="AH132" i="2" s="1"/>
  <c r="A133" i="2"/>
  <c r="AH133" i="2" s="1"/>
  <c r="A134" i="2"/>
  <c r="A135" i="2"/>
  <c r="A136" i="2"/>
  <c r="AH136" i="2" s="1"/>
  <c r="A137" i="2"/>
  <c r="AH137" i="2" s="1"/>
  <c r="A138" i="2"/>
  <c r="AH138" i="2" s="1"/>
  <c r="A139" i="2"/>
  <c r="AH139" i="2" s="1"/>
  <c r="A140" i="2"/>
  <c r="A141" i="2"/>
  <c r="A142" i="2"/>
  <c r="AH142" i="2" s="1"/>
  <c r="A143" i="2"/>
  <c r="A144" i="2"/>
  <c r="AH144" i="2" s="1"/>
  <c r="A145" i="2"/>
  <c r="AH145" i="2" s="1"/>
  <c r="A146" i="2"/>
  <c r="AH146" i="2" s="1"/>
  <c r="A147" i="2"/>
  <c r="AH147" i="2" s="1"/>
  <c r="A148" i="2"/>
  <c r="AH148" i="2" s="1"/>
  <c r="A149" i="2"/>
  <c r="A150" i="2"/>
  <c r="AH150" i="2" s="1"/>
  <c r="A151" i="2"/>
  <c r="A152" i="2"/>
  <c r="AH152" i="2" s="1"/>
  <c r="A153" i="2"/>
  <c r="A154" i="2"/>
  <c r="A155" i="2"/>
  <c r="AH155" i="2" s="1"/>
  <c r="A156" i="2"/>
  <c r="AH156" i="2" s="1"/>
  <c r="A157" i="2"/>
  <c r="A158" i="2"/>
  <c r="AH158" i="2" s="1"/>
  <c r="A159" i="2"/>
  <c r="A160" i="2"/>
  <c r="AH160" i="2" s="1"/>
  <c r="A161" i="2"/>
  <c r="A162" i="2"/>
  <c r="AH162" i="2" s="1"/>
  <c r="A163" i="2"/>
  <c r="AH163" i="2" s="1"/>
  <c r="A164" i="2"/>
  <c r="AH164" i="2" s="1"/>
  <c r="A165" i="2"/>
  <c r="AH165" i="2" s="1"/>
  <c r="A166" i="2"/>
  <c r="AH166" i="2" s="1"/>
  <c r="A167" i="2"/>
  <c r="A168" i="2"/>
  <c r="AH168" i="2" s="1"/>
  <c r="A169" i="2"/>
  <c r="A170" i="2"/>
  <c r="AH170" i="2" s="1"/>
  <c r="A171" i="2"/>
  <c r="A172" i="2"/>
  <c r="AH172" i="2" s="1"/>
  <c r="A173" i="2"/>
  <c r="AH173" i="2" s="1"/>
  <c r="A174" i="2"/>
  <c r="A175" i="2"/>
  <c r="A176" i="2"/>
  <c r="AH176" i="2" s="1"/>
  <c r="A177" i="2"/>
  <c r="A178" i="2"/>
  <c r="A179" i="2"/>
  <c r="A180" i="2"/>
  <c r="AH180" i="2" s="1"/>
  <c r="A181" i="2"/>
  <c r="A182" i="2"/>
  <c r="A183" i="2"/>
  <c r="A184" i="2"/>
  <c r="AH184" i="2" s="1"/>
  <c r="A185" i="2"/>
  <c r="A186" i="2"/>
  <c r="A187" i="2"/>
  <c r="AH187" i="2" s="1"/>
  <c r="A188" i="2"/>
  <c r="AH188" i="2" s="1"/>
  <c r="A189" i="2"/>
  <c r="A190" i="2"/>
  <c r="A191" i="2"/>
  <c r="A192" i="2"/>
  <c r="AH192" i="2" s="1"/>
  <c r="A193" i="2"/>
  <c r="A194" i="2"/>
  <c r="AH194" i="2" s="1"/>
  <c r="A195" i="2"/>
  <c r="A196" i="2"/>
  <c r="AH196" i="2" s="1"/>
  <c r="A197" i="2"/>
  <c r="A198" i="2"/>
  <c r="A199" i="2"/>
  <c r="A200" i="2"/>
  <c r="AH200" i="2" s="1"/>
  <c r="A201" i="2"/>
  <c r="A202" i="2"/>
  <c r="AH202" i="2" s="1"/>
  <c r="A203" i="2"/>
  <c r="A204" i="2"/>
  <c r="AH204" i="2" s="1"/>
  <c r="A205" i="2"/>
  <c r="A206" i="2"/>
  <c r="A207" i="2"/>
  <c r="A208" i="2"/>
  <c r="AH208" i="2" s="1"/>
  <c r="A209" i="2"/>
  <c r="A210" i="2"/>
  <c r="AH210" i="2" s="1"/>
  <c r="A211" i="2"/>
  <c r="A212" i="2"/>
  <c r="A213" i="2"/>
  <c r="A214" i="2"/>
  <c r="A215" i="2"/>
  <c r="A216" i="2"/>
  <c r="A217" i="2"/>
  <c r="A218" i="2"/>
  <c r="AH218" i="2" s="1"/>
  <c r="A219" i="2"/>
  <c r="A220" i="2"/>
  <c r="AH220" i="2" s="1"/>
  <c r="A221" i="2"/>
  <c r="A222" i="2"/>
  <c r="A223" i="2"/>
  <c r="A4" i="2"/>
  <c r="AH4" i="2" s="1"/>
  <c r="U333" i="2"/>
  <c r="U332" i="2"/>
  <c r="U331" i="2"/>
  <c r="U330" i="2"/>
  <c r="U329" i="2"/>
  <c r="U328" i="2"/>
  <c r="U327" i="2"/>
  <c r="U326" i="2"/>
  <c r="U325" i="2"/>
  <c r="U324" i="2"/>
  <c r="Y265" i="2"/>
  <c r="AB260" i="2"/>
  <c r="AB259" i="2"/>
  <c r="Y264" i="2"/>
  <c r="AE260" i="2"/>
  <c r="AA260" i="2"/>
  <c r="AE259" i="2"/>
  <c r="AA259" i="2"/>
  <c r="Z260" i="2"/>
  <c r="AC260" i="2"/>
  <c r="Y260" i="2"/>
  <c r="AD260" i="2"/>
  <c r="X260" i="2"/>
  <c r="AC259" i="2"/>
  <c r="Y259" i="2"/>
  <c r="AD259" i="2"/>
  <c r="Z259" i="2"/>
  <c r="X259" i="2"/>
  <c r="AB265" i="2"/>
  <c r="AE265" i="2"/>
  <c r="AA265" i="2"/>
  <c r="X265" i="2"/>
  <c r="AD265" i="2"/>
  <c r="Z265" i="2"/>
  <c r="AC265" i="2"/>
  <c r="X264" i="2"/>
  <c r="AB264" i="2"/>
  <c r="AE264" i="2"/>
  <c r="AA264" i="2"/>
  <c r="AD264" i="2"/>
  <c r="Z264" i="2"/>
  <c r="AC264" i="2"/>
  <c r="Z255" i="2"/>
  <c r="Y254" i="2"/>
  <c r="N4" i="2"/>
  <c r="AP4" i="2" s="1"/>
  <c r="O4" i="2"/>
  <c r="P4" i="2"/>
  <c r="Q4" i="2"/>
  <c r="R4" i="2"/>
  <c r="S4" i="2"/>
  <c r="T4" i="2"/>
  <c r="U4" i="2"/>
  <c r="N5" i="2"/>
  <c r="AP5" i="2" s="1"/>
  <c r="O5" i="2"/>
  <c r="P5" i="2"/>
  <c r="Q5" i="2"/>
  <c r="R5" i="2"/>
  <c r="S5" i="2"/>
  <c r="T5" i="2"/>
  <c r="U5" i="2"/>
  <c r="N6" i="2"/>
  <c r="AP6" i="2" s="1"/>
  <c r="O6" i="2"/>
  <c r="P6" i="2"/>
  <c r="Q6" i="2"/>
  <c r="R6" i="2"/>
  <c r="S6" i="2"/>
  <c r="T6" i="2"/>
  <c r="U6" i="2"/>
  <c r="N7" i="2"/>
  <c r="AP7" i="2" s="1"/>
  <c r="O7" i="2"/>
  <c r="P7" i="2"/>
  <c r="Q7" i="2"/>
  <c r="R7" i="2"/>
  <c r="S7" i="2"/>
  <c r="T7" i="2"/>
  <c r="U7" i="2"/>
  <c r="N8" i="2"/>
  <c r="AP8" i="2" s="1"/>
  <c r="O8" i="2"/>
  <c r="P8" i="2"/>
  <c r="Q8" i="2"/>
  <c r="R8" i="2"/>
  <c r="S8" i="2"/>
  <c r="T8" i="2"/>
  <c r="U8" i="2"/>
  <c r="N9" i="2"/>
  <c r="AP9" i="2" s="1"/>
  <c r="O9" i="2"/>
  <c r="P9" i="2"/>
  <c r="Q9" i="2"/>
  <c r="R9" i="2"/>
  <c r="S9" i="2"/>
  <c r="T9" i="2"/>
  <c r="U9" i="2"/>
  <c r="N10" i="2"/>
  <c r="AP10" i="2" s="1"/>
  <c r="O10" i="2"/>
  <c r="P10" i="2"/>
  <c r="Q10" i="2"/>
  <c r="R10" i="2"/>
  <c r="S10" i="2"/>
  <c r="T10" i="2"/>
  <c r="U10" i="2"/>
  <c r="N11" i="2"/>
  <c r="AP11" i="2" s="1"/>
  <c r="O11" i="2"/>
  <c r="P11" i="2"/>
  <c r="Q11" i="2"/>
  <c r="R11" i="2"/>
  <c r="S11" i="2"/>
  <c r="T11" i="2"/>
  <c r="U11" i="2"/>
  <c r="N12" i="2"/>
  <c r="AP12" i="2" s="1"/>
  <c r="O12" i="2"/>
  <c r="P12" i="2"/>
  <c r="Q12" i="2"/>
  <c r="R12" i="2"/>
  <c r="S12" i="2"/>
  <c r="T12" i="2"/>
  <c r="U12" i="2"/>
  <c r="N13" i="2"/>
  <c r="AP13" i="2" s="1"/>
  <c r="O13" i="2"/>
  <c r="P13" i="2"/>
  <c r="Q13" i="2"/>
  <c r="R13" i="2"/>
  <c r="S13" i="2"/>
  <c r="T13" i="2"/>
  <c r="U13" i="2"/>
  <c r="N14" i="2"/>
  <c r="AP14" i="2" s="1"/>
  <c r="O14" i="2"/>
  <c r="P14" i="2"/>
  <c r="Q14" i="2"/>
  <c r="R14" i="2"/>
  <c r="S14" i="2"/>
  <c r="T14" i="2"/>
  <c r="U14" i="2"/>
  <c r="N15" i="2"/>
  <c r="AP15" i="2" s="1"/>
  <c r="O15" i="2"/>
  <c r="P15" i="2"/>
  <c r="Q15" i="2"/>
  <c r="R15" i="2"/>
  <c r="S15" i="2"/>
  <c r="T15" i="2"/>
  <c r="U15" i="2"/>
  <c r="N16" i="2"/>
  <c r="AP16" i="2" s="1"/>
  <c r="O16" i="2"/>
  <c r="P16" i="2"/>
  <c r="Q16" i="2"/>
  <c r="R16" i="2"/>
  <c r="S16" i="2"/>
  <c r="T16" i="2"/>
  <c r="U16" i="2"/>
  <c r="N17" i="2"/>
  <c r="AP17" i="2" s="1"/>
  <c r="O17" i="2"/>
  <c r="P17" i="2"/>
  <c r="Q17" i="2"/>
  <c r="R17" i="2"/>
  <c r="S17" i="2"/>
  <c r="T17" i="2"/>
  <c r="U17" i="2"/>
  <c r="N18" i="2"/>
  <c r="AP18" i="2" s="1"/>
  <c r="O18" i="2"/>
  <c r="P18" i="2"/>
  <c r="Q18" i="2"/>
  <c r="R18" i="2"/>
  <c r="S18" i="2"/>
  <c r="T18" i="2"/>
  <c r="U18" i="2"/>
  <c r="N19" i="2"/>
  <c r="AP19" i="2" s="1"/>
  <c r="O19" i="2"/>
  <c r="P19" i="2"/>
  <c r="Q19" i="2"/>
  <c r="R19" i="2"/>
  <c r="S19" i="2"/>
  <c r="T19" i="2"/>
  <c r="U19" i="2"/>
  <c r="N20" i="2"/>
  <c r="AP20" i="2" s="1"/>
  <c r="O20" i="2"/>
  <c r="P20" i="2"/>
  <c r="Q20" i="2"/>
  <c r="R20" i="2"/>
  <c r="S20" i="2"/>
  <c r="T20" i="2"/>
  <c r="U20" i="2"/>
  <c r="N21" i="2"/>
  <c r="AP21" i="2" s="1"/>
  <c r="O21" i="2"/>
  <c r="P21" i="2"/>
  <c r="Q21" i="2"/>
  <c r="R21" i="2"/>
  <c r="S21" i="2"/>
  <c r="T21" i="2"/>
  <c r="U21" i="2"/>
  <c r="N22" i="2"/>
  <c r="AP22" i="2" s="1"/>
  <c r="O22" i="2"/>
  <c r="P22" i="2"/>
  <c r="Q22" i="2"/>
  <c r="R22" i="2"/>
  <c r="S22" i="2"/>
  <c r="T22" i="2"/>
  <c r="U22" i="2"/>
  <c r="N23" i="2"/>
  <c r="AP23" i="2" s="1"/>
  <c r="O23" i="2"/>
  <c r="P23" i="2"/>
  <c r="Q23" i="2"/>
  <c r="R23" i="2"/>
  <c r="S23" i="2"/>
  <c r="T23" i="2"/>
  <c r="U23" i="2"/>
  <c r="N24" i="2"/>
  <c r="AP24" i="2" s="1"/>
  <c r="O24" i="2"/>
  <c r="P24" i="2"/>
  <c r="Q24" i="2"/>
  <c r="R24" i="2"/>
  <c r="S24" i="2"/>
  <c r="T24" i="2"/>
  <c r="U24" i="2"/>
  <c r="N25" i="2"/>
  <c r="AP25" i="2" s="1"/>
  <c r="O25" i="2"/>
  <c r="P25" i="2"/>
  <c r="Q25" i="2"/>
  <c r="R25" i="2"/>
  <c r="S25" i="2"/>
  <c r="T25" i="2"/>
  <c r="U25" i="2"/>
  <c r="N26" i="2"/>
  <c r="AP26" i="2" s="1"/>
  <c r="O26" i="2"/>
  <c r="P26" i="2"/>
  <c r="Q26" i="2"/>
  <c r="R26" i="2"/>
  <c r="S26" i="2"/>
  <c r="T26" i="2"/>
  <c r="U26" i="2"/>
  <c r="N27" i="2"/>
  <c r="AP27" i="2" s="1"/>
  <c r="O27" i="2"/>
  <c r="P27" i="2"/>
  <c r="Q27" i="2"/>
  <c r="R27" i="2"/>
  <c r="S27" i="2"/>
  <c r="T27" i="2"/>
  <c r="U27" i="2"/>
  <c r="N28" i="2"/>
  <c r="AP28" i="2" s="1"/>
  <c r="O28" i="2"/>
  <c r="P28" i="2"/>
  <c r="Q28" i="2"/>
  <c r="R28" i="2"/>
  <c r="S28" i="2"/>
  <c r="T28" i="2"/>
  <c r="U28" i="2"/>
  <c r="N29" i="2"/>
  <c r="AP29" i="2" s="1"/>
  <c r="O29" i="2"/>
  <c r="P29" i="2"/>
  <c r="Q29" i="2"/>
  <c r="R29" i="2"/>
  <c r="S29" i="2"/>
  <c r="T29" i="2"/>
  <c r="U29" i="2"/>
  <c r="N30" i="2"/>
  <c r="AP30" i="2" s="1"/>
  <c r="O30" i="2"/>
  <c r="P30" i="2"/>
  <c r="Q30" i="2"/>
  <c r="R30" i="2"/>
  <c r="S30" i="2"/>
  <c r="T30" i="2"/>
  <c r="U30" i="2"/>
  <c r="N31" i="2"/>
  <c r="AP31" i="2" s="1"/>
  <c r="O31" i="2"/>
  <c r="P31" i="2"/>
  <c r="Q31" i="2"/>
  <c r="R31" i="2"/>
  <c r="S31" i="2"/>
  <c r="T31" i="2"/>
  <c r="U31" i="2"/>
  <c r="N32" i="2"/>
  <c r="AP32" i="2" s="1"/>
  <c r="O32" i="2"/>
  <c r="P32" i="2"/>
  <c r="Q32" i="2"/>
  <c r="R32" i="2"/>
  <c r="S32" i="2"/>
  <c r="T32" i="2"/>
  <c r="U32" i="2"/>
  <c r="N33" i="2"/>
  <c r="AP33" i="2" s="1"/>
  <c r="O33" i="2"/>
  <c r="P33" i="2"/>
  <c r="Q33" i="2"/>
  <c r="R33" i="2"/>
  <c r="S33" i="2"/>
  <c r="T33" i="2"/>
  <c r="U33" i="2"/>
  <c r="N34" i="2"/>
  <c r="AP34" i="2" s="1"/>
  <c r="O34" i="2"/>
  <c r="P34" i="2"/>
  <c r="Q34" i="2"/>
  <c r="R34" i="2"/>
  <c r="S34" i="2"/>
  <c r="T34" i="2"/>
  <c r="U34" i="2"/>
  <c r="N35" i="2"/>
  <c r="AP35" i="2" s="1"/>
  <c r="O35" i="2"/>
  <c r="P35" i="2"/>
  <c r="Q35" i="2"/>
  <c r="R35" i="2"/>
  <c r="S35" i="2"/>
  <c r="T35" i="2"/>
  <c r="U35" i="2"/>
  <c r="N36" i="2"/>
  <c r="AP36" i="2" s="1"/>
  <c r="O36" i="2"/>
  <c r="P36" i="2"/>
  <c r="Q36" i="2"/>
  <c r="R36" i="2"/>
  <c r="S36" i="2"/>
  <c r="T36" i="2"/>
  <c r="U36" i="2"/>
  <c r="N37" i="2"/>
  <c r="AP37" i="2" s="1"/>
  <c r="O37" i="2"/>
  <c r="P37" i="2"/>
  <c r="Q37" i="2"/>
  <c r="R37" i="2"/>
  <c r="S37" i="2"/>
  <c r="T37" i="2"/>
  <c r="U37" i="2"/>
  <c r="N38" i="2"/>
  <c r="AP38" i="2" s="1"/>
  <c r="O38" i="2"/>
  <c r="P38" i="2"/>
  <c r="Q38" i="2"/>
  <c r="R38" i="2"/>
  <c r="S38" i="2"/>
  <c r="T38" i="2"/>
  <c r="U38" i="2"/>
  <c r="N39" i="2"/>
  <c r="AP39" i="2" s="1"/>
  <c r="O39" i="2"/>
  <c r="P39" i="2"/>
  <c r="Q39" i="2"/>
  <c r="R39" i="2"/>
  <c r="S39" i="2"/>
  <c r="T39" i="2"/>
  <c r="U39" i="2"/>
  <c r="N40" i="2"/>
  <c r="AP40" i="2" s="1"/>
  <c r="O40" i="2"/>
  <c r="P40" i="2"/>
  <c r="Q40" i="2"/>
  <c r="R40" i="2"/>
  <c r="S40" i="2"/>
  <c r="T40" i="2"/>
  <c r="U40" i="2"/>
  <c r="N41" i="2"/>
  <c r="AP41" i="2" s="1"/>
  <c r="O41" i="2"/>
  <c r="P41" i="2"/>
  <c r="Q41" i="2"/>
  <c r="R41" i="2"/>
  <c r="S41" i="2"/>
  <c r="T41" i="2"/>
  <c r="U41" i="2"/>
  <c r="N42" i="2"/>
  <c r="AP42" i="2" s="1"/>
  <c r="O42" i="2"/>
  <c r="P42" i="2"/>
  <c r="Q42" i="2"/>
  <c r="R42" i="2"/>
  <c r="S42" i="2"/>
  <c r="T42" i="2"/>
  <c r="U42" i="2"/>
  <c r="N43" i="2"/>
  <c r="AP43" i="2" s="1"/>
  <c r="O43" i="2"/>
  <c r="P43" i="2"/>
  <c r="Q43" i="2"/>
  <c r="R43" i="2"/>
  <c r="S43" i="2"/>
  <c r="T43" i="2"/>
  <c r="U43" i="2"/>
  <c r="N44" i="2"/>
  <c r="AP44" i="2" s="1"/>
  <c r="O44" i="2"/>
  <c r="P44" i="2"/>
  <c r="Q44" i="2"/>
  <c r="R44" i="2"/>
  <c r="S44" i="2"/>
  <c r="T44" i="2"/>
  <c r="U44" i="2"/>
  <c r="N45" i="2"/>
  <c r="AP45" i="2" s="1"/>
  <c r="O45" i="2"/>
  <c r="P45" i="2"/>
  <c r="Q45" i="2"/>
  <c r="R45" i="2"/>
  <c r="S45" i="2"/>
  <c r="T45" i="2"/>
  <c r="U45" i="2"/>
  <c r="N46" i="2"/>
  <c r="AP46" i="2" s="1"/>
  <c r="O46" i="2"/>
  <c r="P46" i="2"/>
  <c r="Q46" i="2"/>
  <c r="R46" i="2"/>
  <c r="S46" i="2"/>
  <c r="T46" i="2"/>
  <c r="U46" i="2"/>
  <c r="N47" i="2"/>
  <c r="AP47" i="2" s="1"/>
  <c r="O47" i="2"/>
  <c r="P47" i="2"/>
  <c r="Q47" i="2"/>
  <c r="R47" i="2"/>
  <c r="S47" i="2"/>
  <c r="T47" i="2"/>
  <c r="U47" i="2"/>
  <c r="N48" i="2"/>
  <c r="AP48" i="2" s="1"/>
  <c r="O48" i="2"/>
  <c r="P48" i="2"/>
  <c r="Q48" i="2"/>
  <c r="R48" i="2"/>
  <c r="S48" i="2"/>
  <c r="T48" i="2"/>
  <c r="U48" i="2"/>
  <c r="N49" i="2"/>
  <c r="AP49" i="2" s="1"/>
  <c r="O49" i="2"/>
  <c r="P49" i="2"/>
  <c r="Q49" i="2"/>
  <c r="R49" i="2"/>
  <c r="S49" i="2"/>
  <c r="T49" i="2"/>
  <c r="U49" i="2"/>
  <c r="N50" i="2"/>
  <c r="AP50" i="2" s="1"/>
  <c r="O50" i="2"/>
  <c r="P50" i="2"/>
  <c r="Q50" i="2"/>
  <c r="R50" i="2"/>
  <c r="S50" i="2"/>
  <c r="T50" i="2"/>
  <c r="U50" i="2"/>
  <c r="N51" i="2"/>
  <c r="AP51" i="2" s="1"/>
  <c r="O51" i="2"/>
  <c r="P51" i="2"/>
  <c r="Q51" i="2"/>
  <c r="R51" i="2"/>
  <c r="S51" i="2"/>
  <c r="T51" i="2"/>
  <c r="U51" i="2"/>
  <c r="N52" i="2"/>
  <c r="AP52" i="2" s="1"/>
  <c r="O52" i="2"/>
  <c r="P52" i="2"/>
  <c r="Q52" i="2"/>
  <c r="R52" i="2"/>
  <c r="S52" i="2"/>
  <c r="T52" i="2"/>
  <c r="U52" i="2"/>
  <c r="N53" i="2"/>
  <c r="AP53" i="2" s="1"/>
  <c r="O53" i="2"/>
  <c r="P53" i="2"/>
  <c r="Q53" i="2"/>
  <c r="R53" i="2"/>
  <c r="S53" i="2"/>
  <c r="T53" i="2"/>
  <c r="U53" i="2"/>
  <c r="N54" i="2"/>
  <c r="AP54" i="2" s="1"/>
  <c r="O54" i="2"/>
  <c r="P54" i="2"/>
  <c r="Q54" i="2"/>
  <c r="R54" i="2"/>
  <c r="S54" i="2"/>
  <c r="T54" i="2"/>
  <c r="U54" i="2"/>
  <c r="N55" i="2"/>
  <c r="AP55" i="2" s="1"/>
  <c r="O55" i="2"/>
  <c r="P55" i="2"/>
  <c r="Q55" i="2"/>
  <c r="R55" i="2"/>
  <c r="S55" i="2"/>
  <c r="T55" i="2"/>
  <c r="U55" i="2"/>
  <c r="N56" i="2"/>
  <c r="AP56" i="2" s="1"/>
  <c r="O56" i="2"/>
  <c r="P56" i="2"/>
  <c r="Q56" i="2"/>
  <c r="R56" i="2"/>
  <c r="S56" i="2"/>
  <c r="T56" i="2"/>
  <c r="U56" i="2"/>
  <c r="N57" i="2"/>
  <c r="AP57" i="2" s="1"/>
  <c r="O57" i="2"/>
  <c r="P57" i="2"/>
  <c r="Q57" i="2"/>
  <c r="R57" i="2"/>
  <c r="S57" i="2"/>
  <c r="T57" i="2"/>
  <c r="U57" i="2"/>
  <c r="N58" i="2"/>
  <c r="AP58" i="2" s="1"/>
  <c r="O58" i="2"/>
  <c r="P58" i="2"/>
  <c r="Q58" i="2"/>
  <c r="R58" i="2"/>
  <c r="S58" i="2"/>
  <c r="T58" i="2"/>
  <c r="U58" i="2"/>
  <c r="N59" i="2"/>
  <c r="AP59" i="2" s="1"/>
  <c r="O59" i="2"/>
  <c r="P59" i="2"/>
  <c r="Q59" i="2"/>
  <c r="R59" i="2"/>
  <c r="S59" i="2"/>
  <c r="T59" i="2"/>
  <c r="U59" i="2"/>
  <c r="N60" i="2"/>
  <c r="AP60" i="2" s="1"/>
  <c r="O60" i="2"/>
  <c r="P60" i="2"/>
  <c r="Q60" i="2"/>
  <c r="R60" i="2"/>
  <c r="S60" i="2"/>
  <c r="T60" i="2"/>
  <c r="U60" i="2"/>
  <c r="N61" i="2"/>
  <c r="AP61" i="2" s="1"/>
  <c r="O61" i="2"/>
  <c r="P61" i="2"/>
  <c r="Q61" i="2"/>
  <c r="R61" i="2"/>
  <c r="S61" i="2"/>
  <c r="T61" i="2"/>
  <c r="U61" i="2"/>
  <c r="N62" i="2"/>
  <c r="AP62" i="2" s="1"/>
  <c r="O62" i="2"/>
  <c r="P62" i="2"/>
  <c r="Q62" i="2"/>
  <c r="R62" i="2"/>
  <c r="S62" i="2"/>
  <c r="T62" i="2"/>
  <c r="U62" i="2"/>
  <c r="N63" i="2"/>
  <c r="AP63" i="2" s="1"/>
  <c r="O63" i="2"/>
  <c r="P63" i="2"/>
  <c r="Q63" i="2"/>
  <c r="R63" i="2"/>
  <c r="S63" i="2"/>
  <c r="T63" i="2"/>
  <c r="U63" i="2"/>
  <c r="N64" i="2"/>
  <c r="AP64" i="2" s="1"/>
  <c r="O64" i="2"/>
  <c r="P64" i="2"/>
  <c r="Q64" i="2"/>
  <c r="R64" i="2"/>
  <c r="S64" i="2"/>
  <c r="T64" i="2"/>
  <c r="U64" i="2"/>
  <c r="N65" i="2"/>
  <c r="AP65" i="2" s="1"/>
  <c r="O65" i="2"/>
  <c r="P65" i="2"/>
  <c r="Q65" i="2"/>
  <c r="R65" i="2"/>
  <c r="S65" i="2"/>
  <c r="T65" i="2"/>
  <c r="U65" i="2"/>
  <c r="N66" i="2"/>
  <c r="AP66" i="2" s="1"/>
  <c r="O66" i="2"/>
  <c r="P66" i="2"/>
  <c r="Q66" i="2"/>
  <c r="R66" i="2"/>
  <c r="S66" i="2"/>
  <c r="T66" i="2"/>
  <c r="U66" i="2"/>
  <c r="N67" i="2"/>
  <c r="AP67" i="2" s="1"/>
  <c r="O67" i="2"/>
  <c r="P67" i="2"/>
  <c r="Q67" i="2"/>
  <c r="R67" i="2"/>
  <c r="S67" i="2"/>
  <c r="T67" i="2"/>
  <c r="U67" i="2"/>
  <c r="N68" i="2"/>
  <c r="AP68" i="2" s="1"/>
  <c r="O68" i="2"/>
  <c r="P68" i="2"/>
  <c r="Q68" i="2"/>
  <c r="R68" i="2"/>
  <c r="S68" i="2"/>
  <c r="T68" i="2"/>
  <c r="U68" i="2"/>
  <c r="N69" i="2"/>
  <c r="AP69" i="2" s="1"/>
  <c r="O69" i="2"/>
  <c r="P69" i="2"/>
  <c r="Q69" i="2"/>
  <c r="R69" i="2"/>
  <c r="S69" i="2"/>
  <c r="T69" i="2"/>
  <c r="U69" i="2"/>
  <c r="N70" i="2"/>
  <c r="AP70" i="2" s="1"/>
  <c r="O70" i="2"/>
  <c r="P70" i="2"/>
  <c r="Q70" i="2"/>
  <c r="R70" i="2"/>
  <c r="S70" i="2"/>
  <c r="T70" i="2"/>
  <c r="U70" i="2"/>
  <c r="N71" i="2"/>
  <c r="AP71" i="2" s="1"/>
  <c r="O71" i="2"/>
  <c r="P71" i="2"/>
  <c r="Q71" i="2"/>
  <c r="R71" i="2"/>
  <c r="S71" i="2"/>
  <c r="T71" i="2"/>
  <c r="U71" i="2"/>
  <c r="N72" i="2"/>
  <c r="AP72" i="2" s="1"/>
  <c r="O72" i="2"/>
  <c r="P72" i="2"/>
  <c r="Q72" i="2"/>
  <c r="R72" i="2"/>
  <c r="S72" i="2"/>
  <c r="T72" i="2"/>
  <c r="U72" i="2"/>
  <c r="N73" i="2"/>
  <c r="AP73" i="2" s="1"/>
  <c r="O73" i="2"/>
  <c r="P73" i="2"/>
  <c r="Q73" i="2"/>
  <c r="R73" i="2"/>
  <c r="S73" i="2"/>
  <c r="T73" i="2"/>
  <c r="U73" i="2"/>
  <c r="N74" i="2"/>
  <c r="AP74" i="2" s="1"/>
  <c r="O74" i="2"/>
  <c r="P74" i="2"/>
  <c r="Q74" i="2"/>
  <c r="R74" i="2"/>
  <c r="S74" i="2"/>
  <c r="T74" i="2"/>
  <c r="U74" i="2"/>
  <c r="N75" i="2"/>
  <c r="AP75" i="2" s="1"/>
  <c r="O75" i="2"/>
  <c r="P75" i="2"/>
  <c r="Q75" i="2"/>
  <c r="R75" i="2"/>
  <c r="S75" i="2"/>
  <c r="T75" i="2"/>
  <c r="U75" i="2"/>
  <c r="N76" i="2"/>
  <c r="AP76" i="2" s="1"/>
  <c r="O76" i="2"/>
  <c r="P76" i="2"/>
  <c r="Q76" i="2"/>
  <c r="R76" i="2"/>
  <c r="S76" i="2"/>
  <c r="T76" i="2"/>
  <c r="U76" i="2"/>
  <c r="N77" i="2"/>
  <c r="AP77" i="2" s="1"/>
  <c r="O77" i="2"/>
  <c r="P77" i="2"/>
  <c r="Q77" i="2"/>
  <c r="R77" i="2"/>
  <c r="S77" i="2"/>
  <c r="T77" i="2"/>
  <c r="U77" i="2"/>
  <c r="N78" i="2"/>
  <c r="AP78" i="2" s="1"/>
  <c r="O78" i="2"/>
  <c r="P78" i="2"/>
  <c r="Q78" i="2"/>
  <c r="R78" i="2"/>
  <c r="S78" i="2"/>
  <c r="T78" i="2"/>
  <c r="U78" i="2"/>
  <c r="N79" i="2"/>
  <c r="AP79" i="2" s="1"/>
  <c r="O79" i="2"/>
  <c r="P79" i="2"/>
  <c r="Q79" i="2"/>
  <c r="R79" i="2"/>
  <c r="S79" i="2"/>
  <c r="T79" i="2"/>
  <c r="U79" i="2"/>
  <c r="N80" i="2"/>
  <c r="AP80" i="2" s="1"/>
  <c r="O80" i="2"/>
  <c r="P80" i="2"/>
  <c r="Q80" i="2"/>
  <c r="R80" i="2"/>
  <c r="S80" i="2"/>
  <c r="T80" i="2"/>
  <c r="U80" i="2"/>
  <c r="N81" i="2"/>
  <c r="AP81" i="2" s="1"/>
  <c r="O81" i="2"/>
  <c r="P81" i="2"/>
  <c r="Q81" i="2"/>
  <c r="R81" i="2"/>
  <c r="S81" i="2"/>
  <c r="T81" i="2"/>
  <c r="U81" i="2"/>
  <c r="N82" i="2"/>
  <c r="AP82" i="2" s="1"/>
  <c r="O82" i="2"/>
  <c r="P82" i="2"/>
  <c r="Q82" i="2"/>
  <c r="R82" i="2"/>
  <c r="S82" i="2"/>
  <c r="T82" i="2"/>
  <c r="U82" i="2"/>
  <c r="N83" i="2"/>
  <c r="AP83" i="2" s="1"/>
  <c r="O83" i="2"/>
  <c r="P83" i="2"/>
  <c r="Q83" i="2"/>
  <c r="R83" i="2"/>
  <c r="S83" i="2"/>
  <c r="T83" i="2"/>
  <c r="U83" i="2"/>
  <c r="N84" i="2"/>
  <c r="AP84" i="2" s="1"/>
  <c r="O84" i="2"/>
  <c r="P84" i="2"/>
  <c r="Q84" i="2"/>
  <c r="R84" i="2"/>
  <c r="S84" i="2"/>
  <c r="T84" i="2"/>
  <c r="U84" i="2"/>
  <c r="N85" i="2"/>
  <c r="AP85" i="2" s="1"/>
  <c r="O85" i="2"/>
  <c r="P85" i="2"/>
  <c r="Q85" i="2"/>
  <c r="R85" i="2"/>
  <c r="S85" i="2"/>
  <c r="T85" i="2"/>
  <c r="U85" i="2"/>
  <c r="N86" i="2"/>
  <c r="AP86" i="2" s="1"/>
  <c r="O86" i="2"/>
  <c r="P86" i="2"/>
  <c r="Q86" i="2"/>
  <c r="R86" i="2"/>
  <c r="S86" i="2"/>
  <c r="T86" i="2"/>
  <c r="U86" i="2"/>
  <c r="N87" i="2"/>
  <c r="AP87" i="2" s="1"/>
  <c r="O87" i="2"/>
  <c r="P87" i="2"/>
  <c r="Q87" i="2"/>
  <c r="R87" i="2"/>
  <c r="S87" i="2"/>
  <c r="T87" i="2"/>
  <c r="U87" i="2"/>
  <c r="N88" i="2"/>
  <c r="AP88" i="2" s="1"/>
  <c r="O88" i="2"/>
  <c r="P88" i="2"/>
  <c r="Q88" i="2"/>
  <c r="R88" i="2"/>
  <c r="S88" i="2"/>
  <c r="T88" i="2"/>
  <c r="U88" i="2"/>
  <c r="N89" i="2"/>
  <c r="AP89" i="2" s="1"/>
  <c r="O89" i="2"/>
  <c r="P89" i="2"/>
  <c r="Q89" i="2"/>
  <c r="R89" i="2"/>
  <c r="S89" i="2"/>
  <c r="T89" i="2"/>
  <c r="U89" i="2"/>
  <c r="N90" i="2"/>
  <c r="AP90" i="2" s="1"/>
  <c r="O90" i="2"/>
  <c r="P90" i="2"/>
  <c r="Q90" i="2"/>
  <c r="R90" i="2"/>
  <c r="S90" i="2"/>
  <c r="T90" i="2"/>
  <c r="U90" i="2"/>
  <c r="N91" i="2"/>
  <c r="AP91" i="2" s="1"/>
  <c r="O91" i="2"/>
  <c r="P91" i="2"/>
  <c r="Q91" i="2"/>
  <c r="R91" i="2"/>
  <c r="S91" i="2"/>
  <c r="T91" i="2"/>
  <c r="U91" i="2"/>
  <c r="N92" i="2"/>
  <c r="AP92" i="2" s="1"/>
  <c r="O92" i="2"/>
  <c r="P92" i="2"/>
  <c r="Q92" i="2"/>
  <c r="R92" i="2"/>
  <c r="S92" i="2"/>
  <c r="T92" i="2"/>
  <c r="U92" i="2"/>
  <c r="N93" i="2"/>
  <c r="AP93" i="2" s="1"/>
  <c r="O93" i="2"/>
  <c r="P93" i="2"/>
  <c r="Q93" i="2"/>
  <c r="R93" i="2"/>
  <c r="S93" i="2"/>
  <c r="T93" i="2"/>
  <c r="U93" i="2"/>
  <c r="N94" i="2"/>
  <c r="AP94" i="2" s="1"/>
  <c r="O94" i="2"/>
  <c r="P94" i="2"/>
  <c r="Q94" i="2"/>
  <c r="R94" i="2"/>
  <c r="S94" i="2"/>
  <c r="T94" i="2"/>
  <c r="U94" i="2"/>
  <c r="N95" i="2"/>
  <c r="AP95" i="2" s="1"/>
  <c r="O95" i="2"/>
  <c r="P95" i="2"/>
  <c r="Q95" i="2"/>
  <c r="R95" i="2"/>
  <c r="S95" i="2"/>
  <c r="T95" i="2"/>
  <c r="U95" i="2"/>
  <c r="N96" i="2"/>
  <c r="AP96" i="2" s="1"/>
  <c r="O96" i="2"/>
  <c r="P96" i="2"/>
  <c r="Q96" i="2"/>
  <c r="R96" i="2"/>
  <c r="S96" i="2"/>
  <c r="T96" i="2"/>
  <c r="U96" i="2"/>
  <c r="N97" i="2"/>
  <c r="AP97" i="2" s="1"/>
  <c r="O97" i="2"/>
  <c r="P97" i="2"/>
  <c r="Q97" i="2"/>
  <c r="R97" i="2"/>
  <c r="S97" i="2"/>
  <c r="T97" i="2"/>
  <c r="U97" i="2"/>
  <c r="N98" i="2"/>
  <c r="AP98" i="2" s="1"/>
  <c r="O98" i="2"/>
  <c r="P98" i="2"/>
  <c r="Q98" i="2"/>
  <c r="R98" i="2"/>
  <c r="S98" i="2"/>
  <c r="T98" i="2"/>
  <c r="U98" i="2"/>
  <c r="N99" i="2"/>
  <c r="AP99" i="2" s="1"/>
  <c r="O99" i="2"/>
  <c r="P99" i="2"/>
  <c r="Q99" i="2"/>
  <c r="R99" i="2"/>
  <c r="S99" i="2"/>
  <c r="T99" i="2"/>
  <c r="U99" i="2"/>
  <c r="N100" i="2"/>
  <c r="AP100" i="2" s="1"/>
  <c r="O100" i="2"/>
  <c r="P100" i="2"/>
  <c r="Q100" i="2"/>
  <c r="R100" i="2"/>
  <c r="S100" i="2"/>
  <c r="T100" i="2"/>
  <c r="U100" i="2"/>
  <c r="N101" i="2"/>
  <c r="AP101" i="2" s="1"/>
  <c r="O101" i="2"/>
  <c r="P101" i="2"/>
  <c r="Q101" i="2"/>
  <c r="R101" i="2"/>
  <c r="S101" i="2"/>
  <c r="T101" i="2"/>
  <c r="U101" i="2"/>
  <c r="N102" i="2"/>
  <c r="AP102" i="2" s="1"/>
  <c r="O102" i="2"/>
  <c r="P102" i="2"/>
  <c r="Q102" i="2"/>
  <c r="R102" i="2"/>
  <c r="S102" i="2"/>
  <c r="T102" i="2"/>
  <c r="U102" i="2"/>
  <c r="N103" i="2"/>
  <c r="AP103" i="2" s="1"/>
  <c r="O103" i="2"/>
  <c r="P103" i="2"/>
  <c r="Q103" i="2"/>
  <c r="R103" i="2"/>
  <c r="S103" i="2"/>
  <c r="T103" i="2"/>
  <c r="U103" i="2"/>
  <c r="N104" i="2"/>
  <c r="AP104" i="2" s="1"/>
  <c r="O104" i="2"/>
  <c r="P104" i="2"/>
  <c r="Q104" i="2"/>
  <c r="R104" i="2"/>
  <c r="S104" i="2"/>
  <c r="T104" i="2"/>
  <c r="U104" i="2"/>
  <c r="N105" i="2"/>
  <c r="AP105" i="2" s="1"/>
  <c r="O105" i="2"/>
  <c r="P105" i="2"/>
  <c r="Q105" i="2"/>
  <c r="R105" i="2"/>
  <c r="S105" i="2"/>
  <c r="T105" i="2"/>
  <c r="U105" i="2"/>
  <c r="N106" i="2"/>
  <c r="AP106" i="2" s="1"/>
  <c r="O106" i="2"/>
  <c r="P106" i="2"/>
  <c r="Q106" i="2"/>
  <c r="R106" i="2"/>
  <c r="S106" i="2"/>
  <c r="T106" i="2"/>
  <c r="U106" i="2"/>
  <c r="N107" i="2"/>
  <c r="AP107" i="2" s="1"/>
  <c r="O107" i="2"/>
  <c r="P107" i="2"/>
  <c r="Q107" i="2"/>
  <c r="R107" i="2"/>
  <c r="S107" i="2"/>
  <c r="T107" i="2"/>
  <c r="U107" i="2"/>
  <c r="N108" i="2"/>
  <c r="AP108" i="2" s="1"/>
  <c r="O108" i="2"/>
  <c r="P108" i="2"/>
  <c r="Q108" i="2"/>
  <c r="R108" i="2"/>
  <c r="S108" i="2"/>
  <c r="T108" i="2"/>
  <c r="U108" i="2"/>
  <c r="N109" i="2"/>
  <c r="AP109" i="2" s="1"/>
  <c r="O109" i="2"/>
  <c r="P109" i="2"/>
  <c r="Q109" i="2"/>
  <c r="R109" i="2"/>
  <c r="S109" i="2"/>
  <c r="T109" i="2"/>
  <c r="U109" i="2"/>
  <c r="N110" i="2"/>
  <c r="AP110" i="2" s="1"/>
  <c r="O110" i="2"/>
  <c r="P110" i="2"/>
  <c r="Q110" i="2"/>
  <c r="R110" i="2"/>
  <c r="S110" i="2"/>
  <c r="T110" i="2"/>
  <c r="U110" i="2"/>
  <c r="N111" i="2"/>
  <c r="AP111" i="2" s="1"/>
  <c r="O111" i="2"/>
  <c r="P111" i="2"/>
  <c r="Q111" i="2"/>
  <c r="R111" i="2"/>
  <c r="S111" i="2"/>
  <c r="T111" i="2"/>
  <c r="U111" i="2"/>
  <c r="N112" i="2"/>
  <c r="AP112" i="2" s="1"/>
  <c r="O112" i="2"/>
  <c r="P112" i="2"/>
  <c r="Q112" i="2"/>
  <c r="R112" i="2"/>
  <c r="S112" i="2"/>
  <c r="T112" i="2"/>
  <c r="U112" i="2"/>
  <c r="N113" i="2"/>
  <c r="AP113" i="2" s="1"/>
  <c r="O113" i="2"/>
  <c r="P113" i="2"/>
  <c r="Q113" i="2"/>
  <c r="R113" i="2"/>
  <c r="S113" i="2"/>
  <c r="T113" i="2"/>
  <c r="U113" i="2"/>
  <c r="N114" i="2"/>
  <c r="AP114" i="2" s="1"/>
  <c r="O114" i="2"/>
  <c r="P114" i="2"/>
  <c r="Q114" i="2"/>
  <c r="R114" i="2"/>
  <c r="S114" i="2"/>
  <c r="T114" i="2"/>
  <c r="U114" i="2"/>
  <c r="N115" i="2"/>
  <c r="AP115" i="2" s="1"/>
  <c r="O115" i="2"/>
  <c r="P115" i="2"/>
  <c r="Q115" i="2"/>
  <c r="R115" i="2"/>
  <c r="S115" i="2"/>
  <c r="T115" i="2"/>
  <c r="U115" i="2"/>
  <c r="N116" i="2"/>
  <c r="AP116" i="2" s="1"/>
  <c r="O116" i="2"/>
  <c r="P116" i="2"/>
  <c r="Q116" i="2"/>
  <c r="R116" i="2"/>
  <c r="S116" i="2"/>
  <c r="T116" i="2"/>
  <c r="U116" i="2"/>
  <c r="N117" i="2"/>
  <c r="AP117" i="2" s="1"/>
  <c r="O117" i="2"/>
  <c r="P117" i="2"/>
  <c r="Q117" i="2"/>
  <c r="R117" i="2"/>
  <c r="S117" i="2"/>
  <c r="T117" i="2"/>
  <c r="U117" i="2"/>
  <c r="N118" i="2"/>
  <c r="AP118" i="2" s="1"/>
  <c r="O118" i="2"/>
  <c r="P118" i="2"/>
  <c r="Q118" i="2"/>
  <c r="R118" i="2"/>
  <c r="S118" i="2"/>
  <c r="T118" i="2"/>
  <c r="U118" i="2"/>
  <c r="N119" i="2"/>
  <c r="AP119" i="2" s="1"/>
  <c r="O119" i="2"/>
  <c r="P119" i="2"/>
  <c r="Q119" i="2"/>
  <c r="R119" i="2"/>
  <c r="S119" i="2"/>
  <c r="T119" i="2"/>
  <c r="U119" i="2"/>
  <c r="N120" i="2"/>
  <c r="AP120" i="2" s="1"/>
  <c r="O120" i="2"/>
  <c r="P120" i="2"/>
  <c r="Q120" i="2"/>
  <c r="R120" i="2"/>
  <c r="S120" i="2"/>
  <c r="T120" i="2"/>
  <c r="U120" i="2"/>
  <c r="N121" i="2"/>
  <c r="AP121" i="2" s="1"/>
  <c r="O121" i="2"/>
  <c r="P121" i="2"/>
  <c r="Q121" i="2"/>
  <c r="R121" i="2"/>
  <c r="S121" i="2"/>
  <c r="T121" i="2"/>
  <c r="U121" i="2"/>
  <c r="N122" i="2"/>
  <c r="AP122" i="2" s="1"/>
  <c r="O122" i="2"/>
  <c r="P122" i="2"/>
  <c r="Q122" i="2"/>
  <c r="R122" i="2"/>
  <c r="S122" i="2"/>
  <c r="T122" i="2"/>
  <c r="U122" i="2"/>
  <c r="N123" i="2"/>
  <c r="AP123" i="2" s="1"/>
  <c r="O123" i="2"/>
  <c r="P123" i="2"/>
  <c r="Q123" i="2"/>
  <c r="R123" i="2"/>
  <c r="S123" i="2"/>
  <c r="T123" i="2"/>
  <c r="U123" i="2"/>
  <c r="N124" i="2"/>
  <c r="AP124" i="2" s="1"/>
  <c r="O124" i="2"/>
  <c r="P124" i="2"/>
  <c r="Q124" i="2"/>
  <c r="R124" i="2"/>
  <c r="S124" i="2"/>
  <c r="T124" i="2"/>
  <c r="U124" i="2"/>
  <c r="N125" i="2"/>
  <c r="AP125" i="2" s="1"/>
  <c r="O125" i="2"/>
  <c r="P125" i="2"/>
  <c r="Q125" i="2"/>
  <c r="R125" i="2"/>
  <c r="S125" i="2"/>
  <c r="T125" i="2"/>
  <c r="U125" i="2"/>
  <c r="N126" i="2"/>
  <c r="AP126" i="2" s="1"/>
  <c r="O126" i="2"/>
  <c r="P126" i="2"/>
  <c r="Q126" i="2"/>
  <c r="R126" i="2"/>
  <c r="S126" i="2"/>
  <c r="T126" i="2"/>
  <c r="U126" i="2"/>
  <c r="N127" i="2"/>
  <c r="AP127" i="2" s="1"/>
  <c r="O127" i="2"/>
  <c r="P127" i="2"/>
  <c r="Q127" i="2"/>
  <c r="R127" i="2"/>
  <c r="S127" i="2"/>
  <c r="T127" i="2"/>
  <c r="U127" i="2"/>
  <c r="N128" i="2"/>
  <c r="AP128" i="2" s="1"/>
  <c r="O128" i="2"/>
  <c r="P128" i="2"/>
  <c r="Q128" i="2"/>
  <c r="R128" i="2"/>
  <c r="S128" i="2"/>
  <c r="T128" i="2"/>
  <c r="U128" i="2"/>
  <c r="N129" i="2"/>
  <c r="AP129" i="2" s="1"/>
  <c r="O129" i="2"/>
  <c r="P129" i="2"/>
  <c r="Q129" i="2"/>
  <c r="R129" i="2"/>
  <c r="S129" i="2"/>
  <c r="T129" i="2"/>
  <c r="U129" i="2"/>
  <c r="N130" i="2"/>
  <c r="AP130" i="2" s="1"/>
  <c r="O130" i="2"/>
  <c r="P130" i="2"/>
  <c r="Q130" i="2"/>
  <c r="R130" i="2"/>
  <c r="S130" i="2"/>
  <c r="T130" i="2"/>
  <c r="U130" i="2"/>
  <c r="N131" i="2"/>
  <c r="AP131" i="2" s="1"/>
  <c r="O131" i="2"/>
  <c r="P131" i="2"/>
  <c r="Q131" i="2"/>
  <c r="R131" i="2"/>
  <c r="S131" i="2"/>
  <c r="T131" i="2"/>
  <c r="U131" i="2"/>
  <c r="N132" i="2"/>
  <c r="AP132" i="2" s="1"/>
  <c r="O132" i="2"/>
  <c r="P132" i="2"/>
  <c r="Q132" i="2"/>
  <c r="R132" i="2"/>
  <c r="S132" i="2"/>
  <c r="T132" i="2"/>
  <c r="U132" i="2"/>
  <c r="N133" i="2"/>
  <c r="O133" i="2"/>
  <c r="P133" i="2"/>
  <c r="Q133" i="2"/>
  <c r="R133" i="2"/>
  <c r="S133" i="2"/>
  <c r="T133" i="2"/>
  <c r="U133" i="2"/>
  <c r="N134" i="2"/>
  <c r="AP134" i="2" s="1"/>
  <c r="O134" i="2"/>
  <c r="P134" i="2"/>
  <c r="Q134" i="2"/>
  <c r="R134" i="2"/>
  <c r="S134" i="2"/>
  <c r="T134" i="2"/>
  <c r="U134" i="2"/>
  <c r="N135" i="2"/>
  <c r="O135" i="2"/>
  <c r="P135" i="2"/>
  <c r="Q135" i="2"/>
  <c r="R135" i="2"/>
  <c r="S135" i="2"/>
  <c r="T135" i="2"/>
  <c r="U135" i="2"/>
  <c r="N136" i="2"/>
  <c r="AP136" i="2" s="1"/>
  <c r="O136" i="2"/>
  <c r="P136" i="2"/>
  <c r="Q136" i="2"/>
  <c r="R136" i="2"/>
  <c r="S136" i="2"/>
  <c r="T136" i="2"/>
  <c r="U136" i="2"/>
  <c r="N137" i="2"/>
  <c r="AP137" i="2" s="1"/>
  <c r="O137" i="2"/>
  <c r="P137" i="2"/>
  <c r="Q137" i="2"/>
  <c r="R137" i="2"/>
  <c r="S137" i="2"/>
  <c r="T137" i="2"/>
  <c r="U137" i="2"/>
  <c r="N138" i="2"/>
  <c r="AP138" i="2" s="1"/>
  <c r="O138" i="2"/>
  <c r="P138" i="2"/>
  <c r="Q138" i="2"/>
  <c r="R138" i="2"/>
  <c r="S138" i="2"/>
  <c r="T138" i="2"/>
  <c r="U138" i="2"/>
  <c r="N139" i="2"/>
  <c r="AP139" i="2" s="1"/>
  <c r="O139" i="2"/>
  <c r="P139" i="2"/>
  <c r="Q139" i="2"/>
  <c r="R139" i="2"/>
  <c r="S139" i="2"/>
  <c r="T139" i="2"/>
  <c r="U139" i="2"/>
  <c r="N140" i="2"/>
  <c r="AP140" i="2" s="1"/>
  <c r="O140" i="2"/>
  <c r="P140" i="2"/>
  <c r="Q140" i="2"/>
  <c r="R140" i="2"/>
  <c r="S140" i="2"/>
  <c r="T140" i="2"/>
  <c r="U140" i="2"/>
  <c r="N141" i="2"/>
  <c r="AP141" i="2" s="1"/>
  <c r="O141" i="2"/>
  <c r="P141" i="2"/>
  <c r="Q141" i="2"/>
  <c r="R141" i="2"/>
  <c r="S141" i="2"/>
  <c r="T141" i="2"/>
  <c r="U141" i="2"/>
  <c r="N142" i="2"/>
  <c r="AP142" i="2" s="1"/>
  <c r="O142" i="2"/>
  <c r="P142" i="2"/>
  <c r="Q142" i="2"/>
  <c r="R142" i="2"/>
  <c r="S142" i="2"/>
  <c r="T142" i="2"/>
  <c r="U142" i="2"/>
  <c r="N143" i="2"/>
  <c r="O143" i="2"/>
  <c r="P143" i="2"/>
  <c r="Q143" i="2"/>
  <c r="R143" i="2"/>
  <c r="S143" i="2"/>
  <c r="T143" i="2"/>
  <c r="U143" i="2"/>
  <c r="N144" i="2"/>
  <c r="O144" i="2"/>
  <c r="P144" i="2"/>
  <c r="Q144" i="2"/>
  <c r="R144" i="2"/>
  <c r="S144" i="2"/>
  <c r="T144" i="2"/>
  <c r="U144" i="2"/>
  <c r="N145" i="2"/>
  <c r="AP145" i="2" s="1"/>
  <c r="O145" i="2"/>
  <c r="P145" i="2"/>
  <c r="Q145" i="2"/>
  <c r="R145" i="2"/>
  <c r="S145" i="2"/>
  <c r="T145" i="2"/>
  <c r="U145" i="2"/>
  <c r="N146" i="2"/>
  <c r="O146" i="2"/>
  <c r="P146" i="2"/>
  <c r="Q146" i="2"/>
  <c r="R146" i="2"/>
  <c r="S146" i="2"/>
  <c r="T146" i="2"/>
  <c r="U146" i="2"/>
  <c r="N147" i="2"/>
  <c r="AP147" i="2" s="1"/>
  <c r="O147" i="2"/>
  <c r="P147" i="2"/>
  <c r="Q147" i="2"/>
  <c r="R147" i="2"/>
  <c r="S147" i="2"/>
  <c r="T147" i="2"/>
  <c r="U147" i="2"/>
  <c r="N148" i="2"/>
  <c r="AP148" i="2" s="1"/>
  <c r="O148" i="2"/>
  <c r="P148" i="2"/>
  <c r="Q148" i="2"/>
  <c r="R148" i="2"/>
  <c r="S148" i="2"/>
  <c r="T148" i="2"/>
  <c r="U148" i="2"/>
  <c r="N149" i="2"/>
  <c r="AP149" i="2" s="1"/>
  <c r="O149" i="2"/>
  <c r="P149" i="2"/>
  <c r="Q149" i="2"/>
  <c r="R149" i="2"/>
  <c r="S149" i="2"/>
  <c r="T149" i="2"/>
  <c r="U149" i="2"/>
  <c r="N150" i="2"/>
  <c r="AP150" i="2" s="1"/>
  <c r="O150" i="2"/>
  <c r="P150" i="2"/>
  <c r="Q150" i="2"/>
  <c r="R150" i="2"/>
  <c r="S150" i="2"/>
  <c r="T150" i="2"/>
  <c r="U150" i="2"/>
  <c r="N151" i="2"/>
  <c r="O151" i="2"/>
  <c r="P151" i="2"/>
  <c r="Q151" i="2"/>
  <c r="R151" i="2"/>
  <c r="S151" i="2"/>
  <c r="T151" i="2"/>
  <c r="U151" i="2"/>
  <c r="N152" i="2"/>
  <c r="AP152" i="2" s="1"/>
  <c r="O152" i="2"/>
  <c r="P152" i="2"/>
  <c r="Q152" i="2"/>
  <c r="R152" i="2"/>
  <c r="S152" i="2"/>
  <c r="T152" i="2"/>
  <c r="U152" i="2"/>
  <c r="N153" i="2"/>
  <c r="AP153" i="2" s="1"/>
  <c r="O153" i="2"/>
  <c r="P153" i="2"/>
  <c r="Q153" i="2"/>
  <c r="R153" i="2"/>
  <c r="S153" i="2"/>
  <c r="T153" i="2"/>
  <c r="U153" i="2"/>
  <c r="N154" i="2"/>
  <c r="AP154" i="2" s="1"/>
  <c r="O154" i="2"/>
  <c r="P154" i="2"/>
  <c r="Q154" i="2"/>
  <c r="R154" i="2"/>
  <c r="S154" i="2"/>
  <c r="T154" i="2"/>
  <c r="U154" i="2"/>
  <c r="N155" i="2"/>
  <c r="AP155" i="2" s="1"/>
  <c r="O155" i="2"/>
  <c r="P155" i="2"/>
  <c r="Q155" i="2"/>
  <c r="R155" i="2"/>
  <c r="S155" i="2"/>
  <c r="T155" i="2"/>
  <c r="U155" i="2"/>
  <c r="N156" i="2"/>
  <c r="AP156" i="2" s="1"/>
  <c r="O156" i="2"/>
  <c r="P156" i="2"/>
  <c r="Q156" i="2"/>
  <c r="R156" i="2"/>
  <c r="S156" i="2"/>
  <c r="T156" i="2"/>
  <c r="U156" i="2"/>
  <c r="N157" i="2"/>
  <c r="AP157" i="2" s="1"/>
  <c r="O157" i="2"/>
  <c r="P157" i="2"/>
  <c r="Q157" i="2"/>
  <c r="R157" i="2"/>
  <c r="S157" i="2"/>
  <c r="T157" i="2"/>
  <c r="U157" i="2"/>
  <c r="N158" i="2"/>
  <c r="AP158" i="2" s="1"/>
  <c r="O158" i="2"/>
  <c r="P158" i="2"/>
  <c r="Q158" i="2"/>
  <c r="R158" i="2"/>
  <c r="S158" i="2"/>
  <c r="T158" i="2"/>
  <c r="U158" i="2"/>
  <c r="N159" i="2"/>
  <c r="AP159" i="2" s="1"/>
  <c r="O159" i="2"/>
  <c r="P159" i="2"/>
  <c r="Q159" i="2"/>
  <c r="R159" i="2"/>
  <c r="S159" i="2"/>
  <c r="T159" i="2"/>
  <c r="U159" i="2"/>
  <c r="N160" i="2"/>
  <c r="AP160" i="2" s="1"/>
  <c r="O160" i="2"/>
  <c r="P160" i="2"/>
  <c r="Q160" i="2"/>
  <c r="R160" i="2"/>
  <c r="S160" i="2"/>
  <c r="T160" i="2"/>
  <c r="U160" i="2"/>
  <c r="N161" i="2"/>
  <c r="AP161" i="2" s="1"/>
  <c r="O161" i="2"/>
  <c r="P161" i="2"/>
  <c r="Q161" i="2"/>
  <c r="R161" i="2"/>
  <c r="S161" i="2"/>
  <c r="T161" i="2"/>
  <c r="U161" i="2"/>
  <c r="N162" i="2"/>
  <c r="AP162" i="2" s="1"/>
  <c r="O162" i="2"/>
  <c r="P162" i="2"/>
  <c r="Q162" i="2"/>
  <c r="R162" i="2"/>
  <c r="S162" i="2"/>
  <c r="T162" i="2"/>
  <c r="U162" i="2"/>
  <c r="N163" i="2"/>
  <c r="AP163" i="2" s="1"/>
  <c r="O163" i="2"/>
  <c r="P163" i="2"/>
  <c r="Q163" i="2"/>
  <c r="R163" i="2"/>
  <c r="S163" i="2"/>
  <c r="T163" i="2"/>
  <c r="U163" i="2"/>
  <c r="N164" i="2"/>
  <c r="AP164" i="2" s="1"/>
  <c r="O164" i="2"/>
  <c r="P164" i="2"/>
  <c r="Q164" i="2"/>
  <c r="R164" i="2"/>
  <c r="S164" i="2"/>
  <c r="T164" i="2"/>
  <c r="U164" i="2"/>
  <c r="N165" i="2"/>
  <c r="AP165" i="2" s="1"/>
  <c r="O165" i="2"/>
  <c r="P165" i="2"/>
  <c r="Q165" i="2"/>
  <c r="R165" i="2"/>
  <c r="S165" i="2"/>
  <c r="T165" i="2"/>
  <c r="U165" i="2"/>
  <c r="N166" i="2"/>
  <c r="AP166" i="2" s="1"/>
  <c r="O166" i="2"/>
  <c r="P166" i="2"/>
  <c r="Q166" i="2"/>
  <c r="R166" i="2"/>
  <c r="S166" i="2"/>
  <c r="T166" i="2"/>
  <c r="U166" i="2"/>
  <c r="N167" i="2"/>
  <c r="AP167" i="2" s="1"/>
  <c r="O167" i="2"/>
  <c r="P167" i="2"/>
  <c r="Q167" i="2"/>
  <c r="R167" i="2"/>
  <c r="S167" i="2"/>
  <c r="T167" i="2"/>
  <c r="U167" i="2"/>
  <c r="N168" i="2"/>
  <c r="AP168" i="2" s="1"/>
  <c r="O168" i="2"/>
  <c r="P168" i="2"/>
  <c r="Q168" i="2"/>
  <c r="R168" i="2"/>
  <c r="S168" i="2"/>
  <c r="T168" i="2"/>
  <c r="U168" i="2"/>
  <c r="N169" i="2"/>
  <c r="AP169" i="2" s="1"/>
  <c r="O169" i="2"/>
  <c r="P169" i="2"/>
  <c r="Q169" i="2"/>
  <c r="R169" i="2"/>
  <c r="S169" i="2"/>
  <c r="T169" i="2"/>
  <c r="U169" i="2"/>
  <c r="N170" i="2"/>
  <c r="AP170" i="2" s="1"/>
  <c r="O170" i="2"/>
  <c r="P170" i="2"/>
  <c r="Q170" i="2"/>
  <c r="R170" i="2"/>
  <c r="S170" i="2"/>
  <c r="T170" i="2"/>
  <c r="U170" i="2"/>
  <c r="N171" i="2"/>
  <c r="AP171" i="2" s="1"/>
  <c r="O171" i="2"/>
  <c r="P171" i="2"/>
  <c r="Q171" i="2"/>
  <c r="R171" i="2"/>
  <c r="S171" i="2"/>
  <c r="T171" i="2"/>
  <c r="U171" i="2"/>
  <c r="N172" i="2"/>
  <c r="AP172" i="2" s="1"/>
  <c r="O172" i="2"/>
  <c r="P172" i="2"/>
  <c r="Q172" i="2"/>
  <c r="R172" i="2"/>
  <c r="S172" i="2"/>
  <c r="T172" i="2"/>
  <c r="U172" i="2"/>
  <c r="N173" i="2"/>
  <c r="AP173" i="2" s="1"/>
  <c r="O173" i="2"/>
  <c r="P173" i="2"/>
  <c r="Q173" i="2"/>
  <c r="R173" i="2"/>
  <c r="S173" i="2"/>
  <c r="T173" i="2"/>
  <c r="U173" i="2"/>
  <c r="N174" i="2"/>
  <c r="AP174" i="2" s="1"/>
  <c r="O174" i="2"/>
  <c r="P174" i="2"/>
  <c r="Q174" i="2"/>
  <c r="R174" i="2"/>
  <c r="S174" i="2"/>
  <c r="T174" i="2"/>
  <c r="U174" i="2"/>
  <c r="N175" i="2"/>
  <c r="AP175" i="2" s="1"/>
  <c r="O175" i="2"/>
  <c r="P175" i="2"/>
  <c r="Q175" i="2"/>
  <c r="R175" i="2"/>
  <c r="S175" i="2"/>
  <c r="T175" i="2"/>
  <c r="U175" i="2"/>
  <c r="N176" i="2"/>
  <c r="AP176" i="2" s="1"/>
  <c r="O176" i="2"/>
  <c r="P176" i="2"/>
  <c r="Q176" i="2"/>
  <c r="R176" i="2"/>
  <c r="S176" i="2"/>
  <c r="T176" i="2"/>
  <c r="U176" i="2"/>
  <c r="N177" i="2"/>
  <c r="AP177" i="2" s="1"/>
  <c r="O177" i="2"/>
  <c r="P177" i="2"/>
  <c r="Q177" i="2"/>
  <c r="R177" i="2"/>
  <c r="S177" i="2"/>
  <c r="T177" i="2"/>
  <c r="U177" i="2"/>
  <c r="N178" i="2"/>
  <c r="AP178" i="2" s="1"/>
  <c r="O178" i="2"/>
  <c r="P178" i="2"/>
  <c r="Q178" i="2"/>
  <c r="R178" i="2"/>
  <c r="S178" i="2"/>
  <c r="T178" i="2"/>
  <c r="U178" i="2"/>
  <c r="N179" i="2"/>
  <c r="AP179" i="2" s="1"/>
  <c r="O179" i="2"/>
  <c r="P179" i="2"/>
  <c r="Q179" i="2"/>
  <c r="R179" i="2"/>
  <c r="S179" i="2"/>
  <c r="T179" i="2"/>
  <c r="U179" i="2"/>
  <c r="N180" i="2"/>
  <c r="AP180" i="2" s="1"/>
  <c r="O180" i="2"/>
  <c r="P180" i="2"/>
  <c r="Q180" i="2"/>
  <c r="R180" i="2"/>
  <c r="S180" i="2"/>
  <c r="T180" i="2"/>
  <c r="U180" i="2"/>
  <c r="N181" i="2"/>
  <c r="AP181" i="2" s="1"/>
  <c r="O181" i="2"/>
  <c r="P181" i="2"/>
  <c r="Q181" i="2"/>
  <c r="R181" i="2"/>
  <c r="S181" i="2"/>
  <c r="T181" i="2"/>
  <c r="U181" i="2"/>
  <c r="N182" i="2"/>
  <c r="AP182" i="2" s="1"/>
  <c r="O182" i="2"/>
  <c r="P182" i="2"/>
  <c r="Q182" i="2"/>
  <c r="R182" i="2"/>
  <c r="S182" i="2"/>
  <c r="T182" i="2"/>
  <c r="U182" i="2"/>
  <c r="N183" i="2"/>
  <c r="AP183" i="2" s="1"/>
  <c r="O183" i="2"/>
  <c r="P183" i="2"/>
  <c r="Q183" i="2"/>
  <c r="R183" i="2"/>
  <c r="S183" i="2"/>
  <c r="T183" i="2"/>
  <c r="U183" i="2"/>
  <c r="N184" i="2"/>
  <c r="AP184" i="2" s="1"/>
  <c r="O184" i="2"/>
  <c r="P184" i="2"/>
  <c r="Q184" i="2"/>
  <c r="R184" i="2"/>
  <c r="S184" i="2"/>
  <c r="T184" i="2"/>
  <c r="U184" i="2"/>
  <c r="N185" i="2"/>
  <c r="AP185" i="2" s="1"/>
  <c r="O185" i="2"/>
  <c r="P185" i="2"/>
  <c r="Q185" i="2"/>
  <c r="R185" i="2"/>
  <c r="S185" i="2"/>
  <c r="T185" i="2"/>
  <c r="U185" i="2"/>
  <c r="N186" i="2"/>
  <c r="AP186" i="2" s="1"/>
  <c r="O186" i="2"/>
  <c r="P186" i="2"/>
  <c r="Q186" i="2"/>
  <c r="R186" i="2"/>
  <c r="S186" i="2"/>
  <c r="T186" i="2"/>
  <c r="U186" i="2"/>
  <c r="N187" i="2"/>
  <c r="AP187" i="2" s="1"/>
  <c r="O187" i="2"/>
  <c r="P187" i="2"/>
  <c r="Q187" i="2"/>
  <c r="R187" i="2"/>
  <c r="S187" i="2"/>
  <c r="T187" i="2"/>
  <c r="U187" i="2"/>
  <c r="N188" i="2"/>
  <c r="AP188" i="2" s="1"/>
  <c r="O188" i="2"/>
  <c r="P188" i="2"/>
  <c r="Q188" i="2"/>
  <c r="R188" i="2"/>
  <c r="S188" i="2"/>
  <c r="T188" i="2"/>
  <c r="U188" i="2"/>
  <c r="N189" i="2"/>
  <c r="AP189" i="2" s="1"/>
  <c r="O189" i="2"/>
  <c r="P189" i="2"/>
  <c r="Q189" i="2"/>
  <c r="R189" i="2"/>
  <c r="S189" i="2"/>
  <c r="T189" i="2"/>
  <c r="U189" i="2"/>
  <c r="N190" i="2"/>
  <c r="AP190" i="2" s="1"/>
  <c r="O190" i="2"/>
  <c r="P190" i="2"/>
  <c r="Q190" i="2"/>
  <c r="R190" i="2"/>
  <c r="S190" i="2"/>
  <c r="T190" i="2"/>
  <c r="U190" i="2"/>
  <c r="N191" i="2"/>
  <c r="AP191" i="2" s="1"/>
  <c r="O191" i="2"/>
  <c r="P191" i="2"/>
  <c r="Q191" i="2"/>
  <c r="R191" i="2"/>
  <c r="S191" i="2"/>
  <c r="T191" i="2"/>
  <c r="U191" i="2"/>
  <c r="N192" i="2"/>
  <c r="AP192" i="2" s="1"/>
  <c r="O192" i="2"/>
  <c r="P192" i="2"/>
  <c r="Q192" i="2"/>
  <c r="R192" i="2"/>
  <c r="S192" i="2"/>
  <c r="T192" i="2"/>
  <c r="U192" i="2"/>
  <c r="N193" i="2"/>
  <c r="AP193" i="2" s="1"/>
  <c r="O193" i="2"/>
  <c r="P193" i="2"/>
  <c r="Q193" i="2"/>
  <c r="R193" i="2"/>
  <c r="S193" i="2"/>
  <c r="T193" i="2"/>
  <c r="U193" i="2"/>
  <c r="N194" i="2"/>
  <c r="AP194" i="2" s="1"/>
  <c r="O194" i="2"/>
  <c r="P194" i="2"/>
  <c r="Q194" i="2"/>
  <c r="R194" i="2"/>
  <c r="S194" i="2"/>
  <c r="T194" i="2"/>
  <c r="U194" i="2"/>
  <c r="Y227" i="2"/>
  <c r="E5" i="5" s="1"/>
  <c r="Z227" i="2"/>
  <c r="F5" i="5" s="1"/>
  <c r="AA227" i="2"/>
  <c r="G5" i="5" s="1"/>
  <c r="AB227" i="2"/>
  <c r="H5" i="5" s="1"/>
  <c r="AC227" i="2"/>
  <c r="I5" i="5" s="1"/>
  <c r="AD227" i="2"/>
  <c r="J5" i="5" s="1"/>
  <c r="AE227" i="2"/>
  <c r="K5" i="5" s="1"/>
  <c r="X227" i="2"/>
  <c r="D5" i="5" s="1"/>
  <c r="O3" i="2"/>
  <c r="Y3" i="2" s="1"/>
  <c r="Y250" i="2" s="1"/>
  <c r="P3" i="2"/>
  <c r="Z3" i="2" s="1"/>
  <c r="Q3" i="2"/>
  <c r="AA3" i="2" s="1"/>
  <c r="AA244" i="2" s="1"/>
  <c r="R3" i="2"/>
  <c r="AB3" i="2"/>
  <c r="S3" i="2"/>
  <c r="AC3" i="2" s="1"/>
  <c r="T3" i="2"/>
  <c r="AD3" i="2" s="1"/>
  <c r="U3" i="2"/>
  <c r="AE3" i="2" s="1"/>
  <c r="AE249" i="2" s="1"/>
  <c r="N3" i="2"/>
  <c r="X3" i="2" s="1"/>
  <c r="H4" i="2"/>
  <c r="I4" i="2"/>
  <c r="H5" i="2"/>
  <c r="I5" i="2"/>
  <c r="J5" i="2"/>
  <c r="H6" i="2"/>
  <c r="H7" i="2"/>
  <c r="I7" i="2"/>
  <c r="H8" i="2"/>
  <c r="I8" i="2"/>
  <c r="H9" i="2"/>
  <c r="I9" i="2"/>
  <c r="H10" i="2"/>
  <c r="H11" i="2"/>
  <c r="I11" i="2"/>
  <c r="H12" i="2"/>
  <c r="H13" i="2"/>
  <c r="I13" i="2"/>
  <c r="H14" i="2"/>
  <c r="I14" i="2"/>
  <c r="H15" i="2"/>
  <c r="I15" i="2"/>
  <c r="H16" i="2"/>
  <c r="H17" i="2"/>
  <c r="I17" i="2"/>
  <c r="H18" i="2"/>
  <c r="H19" i="2"/>
  <c r="I19" i="2"/>
  <c r="H20" i="2"/>
  <c r="I20" i="2"/>
  <c r="H21" i="2"/>
  <c r="I21" i="2"/>
  <c r="H22" i="2"/>
  <c r="I22" i="2"/>
  <c r="W22" i="2" s="1"/>
  <c r="H23" i="2"/>
  <c r="I23" i="2"/>
  <c r="H24" i="2"/>
  <c r="H25" i="2"/>
  <c r="I25" i="2"/>
  <c r="H26" i="2"/>
  <c r="I26" i="2"/>
  <c r="H27" i="2"/>
  <c r="H28" i="2"/>
  <c r="I28" i="2"/>
  <c r="H29" i="2"/>
  <c r="H30" i="2"/>
  <c r="I30" i="2"/>
  <c r="W30" i="2" s="1"/>
  <c r="AJ30" i="2" s="1"/>
  <c r="H31" i="2"/>
  <c r="I31" i="2"/>
  <c r="H32" i="2"/>
  <c r="I32" i="2"/>
  <c r="H33" i="2"/>
  <c r="H34" i="2"/>
  <c r="I34" i="2"/>
  <c r="H35" i="2"/>
  <c r="I35" i="2"/>
  <c r="H36" i="2"/>
  <c r="I36" i="2"/>
  <c r="H37" i="2"/>
  <c r="I37" i="2"/>
  <c r="H38" i="2"/>
  <c r="I38" i="2"/>
  <c r="H39" i="2"/>
  <c r="H40" i="2"/>
  <c r="H41" i="2"/>
  <c r="I41" i="2"/>
  <c r="W41" i="2" s="1"/>
  <c r="H42" i="2"/>
  <c r="I42" i="2"/>
  <c r="H43" i="2"/>
  <c r="H44" i="2"/>
  <c r="I44" i="2"/>
  <c r="H45" i="2"/>
  <c r="I45" i="2"/>
  <c r="H46" i="2"/>
  <c r="I46" i="2"/>
  <c r="H47" i="2"/>
  <c r="I47" i="2"/>
  <c r="J47" i="2"/>
  <c r="W47" i="2" s="1"/>
  <c r="H48" i="2"/>
  <c r="I48" i="2"/>
  <c r="H49" i="2"/>
  <c r="I49" i="2"/>
  <c r="H50" i="2"/>
  <c r="I50" i="2"/>
  <c r="H51" i="2"/>
  <c r="I51" i="2"/>
  <c r="J51" i="2"/>
  <c r="H52" i="2"/>
  <c r="I52" i="2"/>
  <c r="H53" i="2"/>
  <c r="H54" i="2"/>
  <c r="I54" i="2"/>
  <c r="H55" i="2"/>
  <c r="I55" i="2"/>
  <c r="H56" i="2"/>
  <c r="I56" i="2"/>
  <c r="H57" i="2"/>
  <c r="I57" i="2"/>
  <c r="H58" i="2"/>
  <c r="I58" i="2"/>
  <c r="H59" i="2"/>
  <c r="I59" i="2"/>
  <c r="H60" i="2"/>
  <c r="H61" i="2"/>
  <c r="I61" i="2"/>
  <c r="H62" i="2"/>
  <c r="H63" i="2"/>
  <c r="I63" i="2"/>
  <c r="H64" i="2"/>
  <c r="I64" i="2"/>
  <c r="H65" i="2"/>
  <c r="I65" i="2"/>
  <c r="H66" i="2"/>
  <c r="H67" i="2"/>
  <c r="I67" i="2"/>
  <c r="H68" i="2"/>
  <c r="I68" i="2"/>
  <c r="H69" i="2"/>
  <c r="I69" i="2"/>
  <c r="W69" i="2" s="1"/>
  <c r="H70" i="2"/>
  <c r="I70" i="2"/>
  <c r="H71" i="2"/>
  <c r="I71" i="2"/>
  <c r="H72" i="2"/>
  <c r="I72" i="2"/>
  <c r="H73" i="2"/>
  <c r="I73" i="2"/>
  <c r="J73" i="2"/>
  <c r="H74" i="2"/>
  <c r="I74" i="2"/>
  <c r="H75" i="2"/>
  <c r="I75" i="2"/>
  <c r="H76" i="2"/>
  <c r="I76" i="2"/>
  <c r="H77" i="2"/>
  <c r="I77" i="2"/>
  <c r="H78" i="2"/>
  <c r="I78" i="2"/>
  <c r="H79" i="2"/>
  <c r="I79" i="2"/>
  <c r="H80" i="2"/>
  <c r="I80" i="2"/>
  <c r="H81" i="2"/>
  <c r="I81" i="2"/>
  <c r="H82" i="2"/>
  <c r="H83" i="2"/>
  <c r="I83" i="2"/>
  <c r="H84" i="2"/>
  <c r="H85" i="2"/>
  <c r="I85" i="2"/>
  <c r="H86" i="2"/>
  <c r="I86" i="2"/>
  <c r="H87" i="2"/>
  <c r="I87" i="2"/>
  <c r="H88" i="2"/>
  <c r="I88" i="2"/>
  <c r="H89" i="2"/>
  <c r="I89" i="2"/>
  <c r="H90" i="2"/>
  <c r="H91" i="2"/>
  <c r="I91" i="2"/>
  <c r="H92" i="2"/>
  <c r="I92" i="2"/>
  <c r="H93" i="2"/>
  <c r="I93" i="2"/>
  <c r="H94" i="2"/>
  <c r="I94" i="2"/>
  <c r="H95" i="2"/>
  <c r="I95" i="2"/>
  <c r="H96" i="2"/>
  <c r="I96" i="2"/>
  <c r="H97" i="2"/>
  <c r="I97" i="2"/>
  <c r="H98" i="2"/>
  <c r="I98" i="2"/>
  <c r="W98" i="2" s="1"/>
  <c r="H99" i="2"/>
  <c r="I99" i="2"/>
  <c r="H100" i="2"/>
  <c r="I100" i="2"/>
  <c r="H101" i="2"/>
  <c r="I101" i="2"/>
  <c r="H102" i="2"/>
  <c r="I102" i="2"/>
  <c r="H103" i="2"/>
  <c r="I103" i="2"/>
  <c r="H104" i="2"/>
  <c r="I104" i="2"/>
  <c r="H105" i="2"/>
  <c r="I105" i="2"/>
  <c r="H106" i="2"/>
  <c r="I106" i="2"/>
  <c r="H107" i="2"/>
  <c r="I107" i="2"/>
  <c r="H108" i="2"/>
  <c r="I108" i="2"/>
  <c r="H109" i="2"/>
  <c r="I109" i="2"/>
  <c r="H110" i="2"/>
  <c r="I110" i="2"/>
  <c r="H111" i="2"/>
  <c r="I111" i="2"/>
  <c r="H112" i="2"/>
  <c r="I112" i="2"/>
  <c r="H113" i="2"/>
  <c r="I113" i="2"/>
  <c r="H114" i="2"/>
  <c r="I114" i="2"/>
  <c r="H115" i="2"/>
  <c r="I115" i="2"/>
  <c r="H116" i="2"/>
  <c r="H117" i="2"/>
  <c r="I117" i="2"/>
  <c r="H118" i="2"/>
  <c r="I118" i="2"/>
  <c r="H119" i="2"/>
  <c r="I119" i="2"/>
  <c r="J119" i="2"/>
  <c r="H120" i="2"/>
  <c r="I120" i="2"/>
  <c r="H121" i="2"/>
  <c r="H122" i="2"/>
  <c r="I122" i="2"/>
  <c r="H123" i="2"/>
  <c r="I123" i="2"/>
  <c r="H124" i="2"/>
  <c r="I124" i="2"/>
  <c r="H125" i="2"/>
  <c r="I125" i="2"/>
  <c r="H126" i="2"/>
  <c r="I126" i="2"/>
  <c r="H127" i="2"/>
  <c r="I127" i="2"/>
  <c r="H128" i="2"/>
  <c r="I128" i="2"/>
  <c r="H129" i="2"/>
  <c r="I129" i="2"/>
  <c r="H130" i="2"/>
  <c r="I130" i="2"/>
  <c r="H131" i="2"/>
  <c r="I131" i="2"/>
  <c r="H132" i="2"/>
  <c r="H133" i="2"/>
  <c r="I133" i="2"/>
  <c r="H134" i="2"/>
  <c r="H135" i="2"/>
  <c r="I135" i="2"/>
  <c r="H136" i="2"/>
  <c r="I136" i="2"/>
  <c r="H137" i="2"/>
  <c r="H138" i="2"/>
  <c r="I138" i="2"/>
  <c r="H139" i="2"/>
  <c r="H140" i="2"/>
  <c r="I140" i="2"/>
  <c r="H141" i="2"/>
  <c r="I141" i="2"/>
  <c r="H142" i="2"/>
  <c r="H143" i="2"/>
  <c r="H144" i="2"/>
  <c r="I144" i="2"/>
  <c r="H145" i="2"/>
  <c r="I145" i="2"/>
  <c r="H146" i="2"/>
  <c r="I146" i="2"/>
  <c r="H147" i="2"/>
  <c r="I147" i="2"/>
  <c r="H148" i="2"/>
  <c r="I148" i="2"/>
  <c r="H149" i="2"/>
  <c r="I149" i="2"/>
  <c r="H150" i="2"/>
  <c r="I150" i="2"/>
  <c r="J150" i="2"/>
  <c r="H151" i="2"/>
  <c r="I151" i="2"/>
  <c r="H152" i="2"/>
  <c r="I152" i="2"/>
  <c r="H153" i="2"/>
  <c r="I153" i="2"/>
  <c r="H154" i="2"/>
  <c r="I154" i="2"/>
  <c r="H155" i="2"/>
  <c r="I155" i="2"/>
  <c r="H156" i="2"/>
  <c r="I156" i="2"/>
  <c r="H157" i="2"/>
  <c r="I157" i="2"/>
  <c r="H158" i="2"/>
  <c r="I158" i="2"/>
  <c r="H159" i="2"/>
  <c r="I159" i="2"/>
  <c r="H160" i="2"/>
  <c r="I160" i="2"/>
  <c r="H161" i="2"/>
  <c r="I161" i="2"/>
  <c r="W161" i="2" s="1"/>
  <c r="AJ161" i="2" s="1"/>
  <c r="H162" i="2"/>
  <c r="I162" i="2"/>
  <c r="H163" i="2"/>
  <c r="I163" i="2"/>
  <c r="H164" i="2"/>
  <c r="I164" i="2"/>
  <c r="H165" i="2"/>
  <c r="I165" i="2"/>
  <c r="W165" i="2" s="1"/>
  <c r="AJ165" i="2" s="1"/>
  <c r="H166" i="2"/>
  <c r="I166" i="2"/>
  <c r="H167" i="2"/>
  <c r="I167" i="2"/>
  <c r="H168" i="2"/>
  <c r="H169" i="2"/>
  <c r="I169" i="2"/>
  <c r="H170" i="2"/>
  <c r="I170" i="2"/>
  <c r="H171" i="2"/>
  <c r="I171" i="2"/>
  <c r="W171" i="2" s="1"/>
  <c r="J171" i="2"/>
  <c r="H172" i="2"/>
  <c r="I172" i="2"/>
  <c r="H173" i="2"/>
  <c r="I173" i="2"/>
  <c r="W173" i="2" s="1"/>
  <c r="H174" i="2"/>
  <c r="I174" i="2"/>
  <c r="H175" i="2"/>
  <c r="I175" i="2"/>
  <c r="J175" i="2"/>
  <c r="H176" i="2"/>
  <c r="I176" i="2"/>
  <c r="H177" i="2"/>
  <c r="I177" i="2"/>
  <c r="H178" i="2"/>
  <c r="H179" i="2"/>
  <c r="I179" i="2"/>
  <c r="H180" i="2"/>
  <c r="I180" i="2"/>
  <c r="H181" i="2"/>
  <c r="I181" i="2"/>
  <c r="H182" i="2"/>
  <c r="I182" i="2"/>
  <c r="H183" i="2"/>
  <c r="I183" i="2"/>
  <c r="H184" i="2"/>
  <c r="I184" i="2"/>
  <c r="H185" i="2"/>
  <c r="I185" i="2"/>
  <c r="H186" i="2"/>
  <c r="I186" i="2"/>
  <c r="H187" i="2"/>
  <c r="H188" i="2"/>
  <c r="H189" i="2"/>
  <c r="I189" i="2"/>
  <c r="H190" i="2"/>
  <c r="I190" i="2"/>
  <c r="W190" i="2" s="1"/>
  <c r="H191" i="2"/>
  <c r="I191" i="2"/>
  <c r="H192" i="2"/>
  <c r="H193" i="2"/>
  <c r="I193" i="2"/>
  <c r="H194" i="2"/>
  <c r="I194" i="2"/>
  <c r="H195" i="2"/>
  <c r="I195" i="2"/>
  <c r="H196" i="2"/>
  <c r="I196" i="2"/>
  <c r="H197" i="2"/>
  <c r="I197" i="2"/>
  <c r="H198" i="2"/>
  <c r="I198" i="2"/>
  <c r="H199" i="2"/>
  <c r="I199" i="2"/>
  <c r="H200" i="2"/>
  <c r="I200" i="2"/>
  <c r="W200" i="2" s="1"/>
  <c r="H201" i="2"/>
  <c r="I201" i="2"/>
  <c r="H202" i="2"/>
  <c r="I202" i="2"/>
  <c r="H203" i="2"/>
  <c r="I203" i="2"/>
  <c r="H204" i="2"/>
  <c r="I204" i="2"/>
  <c r="H205" i="2"/>
  <c r="I205" i="2"/>
  <c r="H206" i="2"/>
  <c r="I206" i="2"/>
  <c r="H207" i="2"/>
  <c r="I207" i="2"/>
  <c r="H208" i="2"/>
  <c r="I208" i="2"/>
  <c r="W208" i="2" s="1"/>
  <c r="H209" i="2"/>
  <c r="I209" i="2"/>
  <c r="H210" i="2"/>
  <c r="I210" i="2"/>
  <c r="H211" i="2"/>
  <c r="I211" i="2"/>
  <c r="H212" i="2"/>
  <c r="I212" i="2"/>
  <c r="H213" i="2"/>
  <c r="I213" i="2"/>
  <c r="H214" i="2"/>
  <c r="I214" i="2"/>
  <c r="H215" i="2"/>
  <c r="I215" i="2"/>
  <c r="H216" i="2"/>
  <c r="I216" i="2"/>
  <c r="W216" i="2" s="1"/>
  <c r="H217" i="2"/>
  <c r="I217" i="2"/>
  <c r="H218" i="2"/>
  <c r="I218" i="2"/>
  <c r="H219" i="2"/>
  <c r="I219" i="2"/>
  <c r="H220" i="2"/>
  <c r="I220" i="2"/>
  <c r="H221" i="2"/>
  <c r="I221" i="2"/>
  <c r="H222" i="2"/>
  <c r="I222" i="2"/>
  <c r="H223" i="2"/>
  <c r="I223" i="2"/>
  <c r="AH6" i="2"/>
  <c r="AH7" i="2"/>
  <c r="AH10" i="2"/>
  <c r="AH11" i="2"/>
  <c r="AH12" i="2"/>
  <c r="AH14" i="2"/>
  <c r="AH15" i="2"/>
  <c r="AH18" i="2"/>
  <c r="AH19" i="2"/>
  <c r="AH20" i="2"/>
  <c r="AH22" i="2"/>
  <c r="AH23" i="2"/>
  <c r="AH26" i="2"/>
  <c r="AH27" i="2"/>
  <c r="AH28" i="2"/>
  <c r="AH31" i="2"/>
  <c r="AH34" i="2"/>
  <c r="AH35" i="2"/>
  <c r="AH36" i="2"/>
  <c r="AH38" i="2"/>
  <c r="AH39" i="2"/>
  <c r="AH41" i="2"/>
  <c r="AH42" i="2"/>
  <c r="AH43" i="2"/>
  <c r="AH46" i="2"/>
  <c r="AH49" i="2"/>
  <c r="AH50" i="2"/>
  <c r="AH51" i="2"/>
  <c r="AH52" i="2"/>
  <c r="AH53" i="2"/>
  <c r="AH54" i="2"/>
  <c r="AH59" i="2"/>
  <c r="AH60" i="2"/>
  <c r="AH66" i="2"/>
  <c r="AH67" i="2"/>
  <c r="AH68" i="2"/>
  <c r="AH74" i="2"/>
  <c r="AH75" i="2"/>
  <c r="AH76" i="2"/>
  <c r="AH79" i="2"/>
  <c r="AH82" i="2"/>
  <c r="AH83" i="2"/>
  <c r="AH84" i="2"/>
  <c r="AH87" i="2"/>
  <c r="AH90" i="2"/>
  <c r="AH91" i="2"/>
  <c r="AH92" i="2"/>
  <c r="AH95" i="2"/>
  <c r="AH98" i="2"/>
  <c r="AH99" i="2"/>
  <c r="AH100" i="2"/>
  <c r="AH103" i="2"/>
  <c r="AH106" i="2"/>
  <c r="AH107" i="2"/>
  <c r="AH110" i="2"/>
  <c r="AH111" i="2"/>
  <c r="AH114" i="2"/>
  <c r="AH115" i="2"/>
  <c r="AH118" i="2"/>
  <c r="AH119" i="2"/>
  <c r="AH126" i="2"/>
  <c r="AH134" i="2"/>
  <c r="AH135" i="2"/>
  <c r="AH140" i="2"/>
  <c r="AH141" i="2"/>
  <c r="AH143" i="2"/>
  <c r="AH149" i="2"/>
  <c r="AH151" i="2"/>
  <c r="AH153" i="2"/>
  <c r="AH154" i="2"/>
  <c r="AH157" i="2"/>
  <c r="AH159" i="2"/>
  <c r="AH161" i="2"/>
  <c r="AH167" i="2"/>
  <c r="AH169" i="2"/>
  <c r="AH171" i="2"/>
  <c r="AH174" i="2"/>
  <c r="AH175" i="2"/>
  <c r="AH177" i="2"/>
  <c r="AH178" i="2"/>
  <c r="AH179" i="2"/>
  <c r="AH181" i="2"/>
  <c r="AH182" i="2"/>
  <c r="AH183" i="2"/>
  <c r="AH185" i="2"/>
  <c r="AH186" i="2"/>
  <c r="AH189" i="2"/>
  <c r="AH190" i="2"/>
  <c r="AH191" i="2"/>
  <c r="AH193" i="2"/>
  <c r="AH195" i="2"/>
  <c r="AH197" i="2"/>
  <c r="AH198" i="2"/>
  <c r="AH199" i="2"/>
  <c r="AH201" i="2"/>
  <c r="AH203" i="2"/>
  <c r="AH205" i="2"/>
  <c r="AH206" i="2"/>
  <c r="AH207" i="2"/>
  <c r="AH209" i="2"/>
  <c r="AH211" i="2"/>
  <c r="AH212" i="2"/>
  <c r="AH213" i="2"/>
  <c r="AH214" i="2"/>
  <c r="AH215" i="2"/>
  <c r="AH216" i="2"/>
  <c r="AH217" i="2"/>
  <c r="AH219" i="2"/>
  <c r="AH221" i="2"/>
  <c r="AH222" i="2"/>
  <c r="AH22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J4" i="2"/>
  <c r="J6" i="2"/>
  <c r="J7" i="2"/>
  <c r="W7" i="2" s="1"/>
  <c r="AJ7" i="2" s="1"/>
  <c r="J8" i="2"/>
  <c r="J9" i="2"/>
  <c r="W9" i="2" s="1"/>
  <c r="AJ9" i="2" s="1"/>
  <c r="J10" i="2"/>
  <c r="J11" i="2"/>
  <c r="J12" i="2"/>
  <c r="J13" i="2"/>
  <c r="J14" i="2"/>
  <c r="J15" i="2"/>
  <c r="W15" i="2" s="1"/>
  <c r="J16" i="2"/>
  <c r="J17" i="2"/>
  <c r="W17" i="2" s="1"/>
  <c r="J18" i="2"/>
  <c r="J19" i="2"/>
  <c r="J20" i="2"/>
  <c r="W20" i="2" s="1"/>
  <c r="J21" i="2"/>
  <c r="W21" i="2" s="1"/>
  <c r="J22" i="2"/>
  <c r="J23" i="2"/>
  <c r="J24" i="2"/>
  <c r="J25" i="2"/>
  <c r="J26" i="2"/>
  <c r="J27" i="2"/>
  <c r="J28" i="2"/>
  <c r="J29" i="2"/>
  <c r="J30" i="2"/>
  <c r="J31" i="2"/>
  <c r="W31" i="2" s="1"/>
  <c r="J32" i="2"/>
  <c r="J33" i="2"/>
  <c r="J34" i="2"/>
  <c r="J35" i="2"/>
  <c r="J36" i="2"/>
  <c r="J37" i="2"/>
  <c r="J38" i="2"/>
  <c r="W38" i="2" s="1"/>
  <c r="AJ38" i="2" s="1"/>
  <c r="J39" i="2"/>
  <c r="I39" i="2"/>
  <c r="J40" i="2"/>
  <c r="J41" i="2"/>
  <c r="J42" i="2"/>
  <c r="J43" i="2"/>
  <c r="J44" i="2"/>
  <c r="J45" i="2"/>
  <c r="J46" i="2"/>
  <c r="J48" i="2"/>
  <c r="J49" i="2"/>
  <c r="J50" i="2"/>
  <c r="J52" i="2"/>
  <c r="J53" i="2"/>
  <c r="J54" i="2"/>
  <c r="J55" i="2"/>
  <c r="J56" i="2"/>
  <c r="J57" i="2"/>
  <c r="J58" i="2"/>
  <c r="W58" i="2" s="1"/>
  <c r="J59" i="2"/>
  <c r="J60" i="2"/>
  <c r="J61" i="2"/>
  <c r="J62" i="2"/>
  <c r="J63" i="2"/>
  <c r="W63" i="2" s="1"/>
  <c r="AJ63" i="2" s="1"/>
  <c r="J64" i="2"/>
  <c r="W64" i="2" s="1"/>
  <c r="J65" i="2"/>
  <c r="J66" i="2"/>
  <c r="W66" i="2" s="1"/>
  <c r="AJ66" i="2" s="1"/>
  <c r="J67" i="2"/>
  <c r="J68" i="2"/>
  <c r="J69" i="2"/>
  <c r="J70" i="2"/>
  <c r="W70" i="2" s="1"/>
  <c r="AJ70" i="2" s="1"/>
  <c r="J71" i="2"/>
  <c r="W71" i="2" s="1"/>
  <c r="AJ71" i="2" s="1"/>
  <c r="J72" i="2"/>
  <c r="J74" i="2"/>
  <c r="J75" i="2"/>
  <c r="W75" i="2" s="1"/>
  <c r="AJ75" i="2" s="1"/>
  <c r="J76" i="2"/>
  <c r="J77" i="2"/>
  <c r="J78" i="2"/>
  <c r="J79" i="2"/>
  <c r="W79" i="2" s="1"/>
  <c r="AJ79" i="2" s="1"/>
  <c r="J80" i="2"/>
  <c r="W80" i="2" s="1"/>
  <c r="J81" i="2"/>
  <c r="J82" i="2"/>
  <c r="J83" i="2"/>
  <c r="J84" i="2"/>
  <c r="J85" i="2"/>
  <c r="W85" i="2" s="1"/>
  <c r="J86" i="2"/>
  <c r="W86" i="2" s="1"/>
  <c r="AJ86" i="2" s="1"/>
  <c r="J87" i="2"/>
  <c r="J88" i="2"/>
  <c r="W88" i="2" s="1"/>
  <c r="J89" i="2"/>
  <c r="J90" i="2"/>
  <c r="J91" i="2"/>
  <c r="J92" i="2"/>
  <c r="J93" i="2"/>
  <c r="W93" i="2" s="1"/>
  <c r="J94" i="2"/>
  <c r="J95" i="2"/>
  <c r="W95" i="2"/>
  <c r="AJ95" i="2" s="1"/>
  <c r="J96" i="2"/>
  <c r="J97" i="2"/>
  <c r="W97" i="2" s="1"/>
  <c r="AJ97" i="2" s="1"/>
  <c r="J98" i="2"/>
  <c r="J99" i="2"/>
  <c r="J100" i="2"/>
  <c r="J101" i="2"/>
  <c r="W101" i="2" s="1"/>
  <c r="J102" i="2"/>
  <c r="J103" i="2"/>
  <c r="J104" i="2"/>
  <c r="J105" i="2"/>
  <c r="W105" i="2" s="1"/>
  <c r="AJ105" i="2" s="1"/>
  <c r="J106" i="2"/>
  <c r="J107" i="2"/>
  <c r="J108" i="2"/>
  <c r="J109" i="2"/>
  <c r="W109" i="2" s="1"/>
  <c r="J110" i="2"/>
  <c r="J111" i="2"/>
  <c r="J112" i="2"/>
  <c r="W112" i="2" s="1"/>
  <c r="J113" i="2"/>
  <c r="W113" i="2" s="1"/>
  <c r="J114" i="2"/>
  <c r="J115" i="2"/>
  <c r="J116" i="2"/>
  <c r="J117" i="2"/>
  <c r="J118" i="2"/>
  <c r="J120" i="2"/>
  <c r="W120" i="2" s="1"/>
  <c r="AJ120" i="2" s="1"/>
  <c r="J121" i="2"/>
  <c r="J122" i="2"/>
  <c r="W122" i="2" s="1"/>
  <c r="J123" i="2"/>
  <c r="W123" i="2" s="1"/>
  <c r="AJ123" i="2" s="1"/>
  <c r="J124" i="2"/>
  <c r="J125" i="2"/>
  <c r="J126" i="2"/>
  <c r="J127" i="2"/>
  <c r="W127" i="2" s="1"/>
  <c r="J128" i="2"/>
  <c r="J129" i="2"/>
  <c r="J130" i="2"/>
  <c r="J131" i="2"/>
  <c r="W131" i="2" s="1"/>
  <c r="J132" i="2"/>
  <c r="J133" i="2"/>
  <c r="J134" i="2"/>
  <c r="J135" i="2"/>
  <c r="J136" i="2"/>
  <c r="W136" i="2" s="1"/>
  <c r="J137" i="2"/>
  <c r="J138" i="2"/>
  <c r="W138" i="2" s="1"/>
  <c r="AJ138" i="2" s="1"/>
  <c r="J139" i="2"/>
  <c r="J140" i="2"/>
  <c r="J141" i="2"/>
  <c r="J142" i="2"/>
  <c r="J143" i="2"/>
  <c r="J144" i="2"/>
  <c r="J145" i="2"/>
  <c r="J146" i="2"/>
  <c r="J147" i="2"/>
  <c r="J148" i="2"/>
  <c r="J149" i="2"/>
  <c r="J151" i="2"/>
  <c r="W151" i="2" s="1"/>
  <c r="AJ151" i="2" s="1"/>
  <c r="J152" i="2"/>
  <c r="J153" i="2"/>
  <c r="J154" i="2"/>
  <c r="J155" i="2"/>
  <c r="W155" i="2" s="1"/>
  <c r="J156" i="2"/>
  <c r="W156" i="2" s="1"/>
  <c r="J157" i="2"/>
  <c r="J158" i="2"/>
  <c r="J159" i="2"/>
  <c r="W159" i="2" s="1"/>
  <c r="J160" i="2"/>
  <c r="J161" i="2"/>
  <c r="J162" i="2"/>
  <c r="W162" i="2" s="1"/>
  <c r="AJ162" i="2" s="1"/>
  <c r="J163" i="2"/>
  <c r="W163" i="2" s="1"/>
  <c r="AJ163" i="2" s="1"/>
  <c r="J164" i="2"/>
  <c r="J165" i="2"/>
  <c r="J166" i="2"/>
  <c r="J167" i="2"/>
  <c r="W167" i="2" s="1"/>
  <c r="J168" i="2"/>
  <c r="J169" i="2"/>
  <c r="J170" i="2"/>
  <c r="J172" i="2"/>
  <c r="W172" i="2" s="1"/>
  <c r="J173" i="2"/>
  <c r="J174" i="2"/>
  <c r="W174" i="2" s="1"/>
  <c r="J176" i="2"/>
  <c r="J177" i="2"/>
  <c r="W177" i="2" s="1"/>
  <c r="J178" i="2"/>
  <c r="J179" i="2"/>
  <c r="W179" i="2" s="1"/>
  <c r="AJ179" i="2" s="1"/>
  <c r="J180" i="2"/>
  <c r="J181" i="2"/>
  <c r="J182" i="2"/>
  <c r="W182" i="2" s="1"/>
  <c r="J183" i="2"/>
  <c r="W183" i="2" s="1"/>
  <c r="AJ183" i="2" s="1"/>
  <c r="J184" i="2"/>
  <c r="J185" i="2"/>
  <c r="J186" i="2"/>
  <c r="J187" i="2"/>
  <c r="I187" i="2"/>
  <c r="J188" i="2"/>
  <c r="I188" i="2"/>
  <c r="J189" i="2"/>
  <c r="J190" i="2"/>
  <c r="J191" i="2"/>
  <c r="J192" i="2"/>
  <c r="J193" i="2"/>
  <c r="W193" i="2" s="1"/>
  <c r="AJ193" i="2" s="1"/>
  <c r="J194" i="2"/>
  <c r="J195" i="2"/>
  <c r="W195" i="2" s="1"/>
  <c r="J196" i="2"/>
  <c r="J197" i="2"/>
  <c r="J198" i="2"/>
  <c r="J199" i="2"/>
  <c r="J200" i="2"/>
  <c r="J201" i="2"/>
  <c r="J202" i="2"/>
  <c r="J203" i="2"/>
  <c r="W203" i="2" s="1"/>
  <c r="J204" i="2"/>
  <c r="J205" i="2"/>
  <c r="J206" i="2"/>
  <c r="J207" i="2"/>
  <c r="W207" i="2" s="1"/>
  <c r="J208" i="2"/>
  <c r="J209" i="2"/>
  <c r="W209" i="2" s="1"/>
  <c r="AJ209" i="2" s="1"/>
  <c r="J210" i="2"/>
  <c r="J211" i="2"/>
  <c r="W211" i="2" s="1"/>
  <c r="J212" i="2"/>
  <c r="J213" i="2"/>
  <c r="J214" i="2"/>
  <c r="J215" i="2"/>
  <c r="W215" i="2" s="1"/>
  <c r="J216" i="2"/>
  <c r="J217" i="2"/>
  <c r="W217" i="2" s="1"/>
  <c r="AI217" i="2" s="1"/>
  <c r="J218" i="2"/>
  <c r="J219" i="2"/>
  <c r="W219" i="2" s="1"/>
  <c r="J220" i="2"/>
  <c r="J221" i="2"/>
  <c r="J222" i="2"/>
  <c r="J223" i="2"/>
  <c r="W223" i="2" s="1"/>
  <c r="AJ223" i="2" s="1"/>
  <c r="I6" i="2"/>
  <c r="I10" i="2"/>
  <c r="W10" i="2" s="1"/>
  <c r="I12" i="2"/>
  <c r="I16" i="2"/>
  <c r="I18" i="2"/>
  <c r="I24" i="2"/>
  <c r="I27" i="2"/>
  <c r="I29" i="2"/>
  <c r="I33" i="2"/>
  <c r="I40" i="2"/>
  <c r="W40" i="2" s="1"/>
  <c r="I43" i="2"/>
  <c r="I53" i="2"/>
  <c r="W53" i="2" s="1"/>
  <c r="I60" i="2"/>
  <c r="I62" i="2"/>
  <c r="I66" i="2"/>
  <c r="I82" i="2"/>
  <c r="I84" i="2"/>
  <c r="W84" i="2" s="1"/>
  <c r="AJ84" i="2" s="1"/>
  <c r="I90" i="2"/>
  <c r="I116" i="2"/>
  <c r="I121" i="2"/>
  <c r="I132" i="2"/>
  <c r="I134" i="2"/>
  <c r="I137" i="2"/>
  <c r="W137" i="2" s="1"/>
  <c r="AJ137" i="2" s="1"/>
  <c r="I139" i="2"/>
  <c r="I142" i="2"/>
  <c r="W142" i="2" s="1"/>
  <c r="AJ142" i="2" s="1"/>
  <c r="I143" i="2"/>
  <c r="I168" i="2"/>
  <c r="W168" i="2" s="1"/>
  <c r="AJ168" i="2" s="1"/>
  <c r="I178" i="2"/>
  <c r="W178" i="2" s="1"/>
  <c r="AJ178" i="2" s="1"/>
  <c r="I192" i="2"/>
  <c r="D5" i="2"/>
  <c r="F5" i="2"/>
  <c r="G5" i="2"/>
  <c r="D6" i="2"/>
  <c r="F6" i="2"/>
  <c r="G6" i="2"/>
  <c r="D7" i="2"/>
  <c r="F7" i="2"/>
  <c r="G7" i="2"/>
  <c r="D8" i="2"/>
  <c r="F8" i="2"/>
  <c r="G8" i="2"/>
  <c r="D9" i="2"/>
  <c r="F9" i="2"/>
  <c r="G9" i="2"/>
  <c r="D10" i="2"/>
  <c r="F10" i="2"/>
  <c r="G10" i="2"/>
  <c r="D11" i="2"/>
  <c r="F11" i="2"/>
  <c r="G11" i="2"/>
  <c r="D12" i="2"/>
  <c r="F12" i="2"/>
  <c r="G12" i="2"/>
  <c r="D13" i="2"/>
  <c r="F13" i="2"/>
  <c r="G13" i="2"/>
  <c r="D14" i="2"/>
  <c r="F14" i="2"/>
  <c r="G14" i="2"/>
  <c r="D15" i="2"/>
  <c r="F15" i="2"/>
  <c r="G15" i="2"/>
  <c r="D16" i="2"/>
  <c r="F16" i="2"/>
  <c r="G16" i="2"/>
  <c r="D17" i="2"/>
  <c r="F17" i="2"/>
  <c r="G17" i="2"/>
  <c r="D18" i="2"/>
  <c r="F18" i="2"/>
  <c r="G18" i="2"/>
  <c r="D19" i="2"/>
  <c r="F19" i="2"/>
  <c r="G19" i="2"/>
  <c r="D20" i="2"/>
  <c r="F20" i="2"/>
  <c r="G20" i="2"/>
  <c r="D21" i="2"/>
  <c r="F21" i="2"/>
  <c r="G21" i="2"/>
  <c r="D22" i="2"/>
  <c r="F22" i="2"/>
  <c r="G22" i="2"/>
  <c r="D23" i="2"/>
  <c r="F23" i="2"/>
  <c r="G23" i="2"/>
  <c r="D24" i="2"/>
  <c r="F24" i="2"/>
  <c r="G24" i="2"/>
  <c r="D25" i="2"/>
  <c r="F25" i="2"/>
  <c r="G25" i="2"/>
  <c r="D26" i="2"/>
  <c r="F26" i="2"/>
  <c r="G26" i="2"/>
  <c r="D27" i="2"/>
  <c r="F27" i="2"/>
  <c r="G27" i="2"/>
  <c r="D28" i="2"/>
  <c r="F28" i="2"/>
  <c r="G28" i="2"/>
  <c r="D29" i="2"/>
  <c r="F29" i="2"/>
  <c r="G29" i="2"/>
  <c r="D30" i="2"/>
  <c r="F30" i="2"/>
  <c r="G30" i="2"/>
  <c r="D31" i="2"/>
  <c r="F31" i="2"/>
  <c r="G31" i="2"/>
  <c r="D32" i="2"/>
  <c r="F32" i="2"/>
  <c r="G32" i="2"/>
  <c r="D33" i="2"/>
  <c r="F33" i="2"/>
  <c r="G33" i="2"/>
  <c r="D34" i="2"/>
  <c r="F34" i="2"/>
  <c r="G34" i="2"/>
  <c r="D35" i="2"/>
  <c r="F35" i="2"/>
  <c r="G35" i="2"/>
  <c r="D36" i="2"/>
  <c r="F36" i="2"/>
  <c r="G36" i="2"/>
  <c r="D37" i="2"/>
  <c r="F37" i="2"/>
  <c r="G37" i="2"/>
  <c r="D38" i="2"/>
  <c r="F38" i="2"/>
  <c r="G38" i="2"/>
  <c r="D39" i="2"/>
  <c r="F39" i="2"/>
  <c r="G39" i="2"/>
  <c r="D40" i="2"/>
  <c r="F40" i="2"/>
  <c r="G40" i="2"/>
  <c r="D41" i="2"/>
  <c r="F41" i="2"/>
  <c r="G41" i="2"/>
  <c r="D42" i="2"/>
  <c r="F42" i="2"/>
  <c r="G42" i="2"/>
  <c r="D43" i="2"/>
  <c r="F43" i="2"/>
  <c r="G43" i="2"/>
  <c r="D44" i="2"/>
  <c r="F44" i="2"/>
  <c r="G44" i="2"/>
  <c r="D45" i="2"/>
  <c r="F45" i="2"/>
  <c r="G45" i="2"/>
  <c r="D46" i="2"/>
  <c r="F46" i="2"/>
  <c r="G46" i="2"/>
  <c r="D47" i="2"/>
  <c r="F47" i="2"/>
  <c r="G47" i="2"/>
  <c r="D48" i="2"/>
  <c r="F48" i="2"/>
  <c r="G48" i="2"/>
  <c r="D49" i="2"/>
  <c r="F49" i="2"/>
  <c r="G49" i="2"/>
  <c r="D50" i="2"/>
  <c r="F50" i="2"/>
  <c r="G50" i="2"/>
  <c r="D51" i="2"/>
  <c r="F51" i="2"/>
  <c r="G51" i="2"/>
  <c r="D52" i="2"/>
  <c r="F52" i="2"/>
  <c r="G52" i="2"/>
  <c r="D53" i="2"/>
  <c r="F53" i="2"/>
  <c r="G53" i="2"/>
  <c r="D54" i="2"/>
  <c r="F54" i="2"/>
  <c r="G54" i="2"/>
  <c r="D55" i="2"/>
  <c r="F55" i="2"/>
  <c r="G55" i="2"/>
  <c r="D56" i="2"/>
  <c r="F56" i="2"/>
  <c r="G56" i="2"/>
  <c r="D57" i="2"/>
  <c r="F57" i="2"/>
  <c r="G57" i="2"/>
  <c r="D58" i="2"/>
  <c r="F58" i="2"/>
  <c r="G58" i="2"/>
  <c r="D59" i="2"/>
  <c r="F59" i="2"/>
  <c r="G59" i="2"/>
  <c r="D60" i="2"/>
  <c r="F60" i="2"/>
  <c r="G60" i="2"/>
  <c r="D61" i="2"/>
  <c r="F61" i="2"/>
  <c r="G61" i="2"/>
  <c r="D62" i="2"/>
  <c r="F62" i="2"/>
  <c r="G62" i="2"/>
  <c r="D63" i="2"/>
  <c r="F63" i="2"/>
  <c r="G63" i="2"/>
  <c r="D64" i="2"/>
  <c r="F64" i="2"/>
  <c r="G64" i="2"/>
  <c r="D65" i="2"/>
  <c r="F65" i="2"/>
  <c r="G65" i="2"/>
  <c r="D66" i="2"/>
  <c r="F66" i="2"/>
  <c r="G66" i="2"/>
  <c r="D67" i="2"/>
  <c r="F67" i="2"/>
  <c r="G67" i="2"/>
  <c r="D68" i="2"/>
  <c r="F68" i="2"/>
  <c r="G68" i="2"/>
  <c r="D69" i="2"/>
  <c r="F69" i="2"/>
  <c r="G69" i="2"/>
  <c r="D70" i="2"/>
  <c r="F70" i="2"/>
  <c r="G70" i="2"/>
  <c r="D71" i="2"/>
  <c r="F71" i="2"/>
  <c r="G71" i="2"/>
  <c r="D72" i="2"/>
  <c r="F72" i="2"/>
  <c r="G72" i="2"/>
  <c r="D73" i="2"/>
  <c r="F73" i="2"/>
  <c r="G73" i="2"/>
  <c r="D74" i="2"/>
  <c r="F74" i="2"/>
  <c r="G74" i="2"/>
  <c r="D75" i="2"/>
  <c r="F75" i="2"/>
  <c r="G75" i="2"/>
  <c r="D76" i="2"/>
  <c r="F76" i="2"/>
  <c r="G76" i="2"/>
  <c r="D77" i="2"/>
  <c r="F77" i="2"/>
  <c r="G77" i="2"/>
  <c r="D78" i="2"/>
  <c r="F78" i="2"/>
  <c r="G78" i="2"/>
  <c r="D79" i="2"/>
  <c r="F79" i="2"/>
  <c r="G79" i="2"/>
  <c r="D80" i="2"/>
  <c r="F80" i="2"/>
  <c r="G80" i="2"/>
  <c r="D81" i="2"/>
  <c r="F81" i="2"/>
  <c r="G81" i="2"/>
  <c r="D82" i="2"/>
  <c r="F82" i="2"/>
  <c r="G82" i="2"/>
  <c r="D83" i="2"/>
  <c r="F83" i="2"/>
  <c r="G83" i="2"/>
  <c r="D84" i="2"/>
  <c r="F84" i="2"/>
  <c r="G84" i="2"/>
  <c r="D85" i="2"/>
  <c r="F85" i="2"/>
  <c r="G85" i="2"/>
  <c r="D86" i="2"/>
  <c r="F86" i="2"/>
  <c r="G86" i="2"/>
  <c r="D87" i="2"/>
  <c r="F87" i="2"/>
  <c r="G87" i="2"/>
  <c r="D88" i="2"/>
  <c r="F88" i="2"/>
  <c r="G88" i="2"/>
  <c r="D89" i="2"/>
  <c r="F89" i="2"/>
  <c r="G89" i="2"/>
  <c r="D90" i="2"/>
  <c r="F90" i="2"/>
  <c r="G90" i="2"/>
  <c r="D91" i="2"/>
  <c r="F91" i="2"/>
  <c r="G91" i="2"/>
  <c r="D92" i="2"/>
  <c r="F92" i="2"/>
  <c r="G92" i="2"/>
  <c r="D93" i="2"/>
  <c r="F93" i="2"/>
  <c r="G93" i="2"/>
  <c r="D94" i="2"/>
  <c r="F94" i="2"/>
  <c r="G94" i="2"/>
  <c r="D95" i="2"/>
  <c r="F95" i="2"/>
  <c r="G95" i="2"/>
  <c r="D96" i="2"/>
  <c r="F96" i="2"/>
  <c r="G96" i="2"/>
  <c r="D97" i="2"/>
  <c r="F97" i="2"/>
  <c r="G97" i="2"/>
  <c r="D98" i="2"/>
  <c r="F98" i="2"/>
  <c r="G98" i="2"/>
  <c r="D99" i="2"/>
  <c r="F99" i="2"/>
  <c r="G99" i="2"/>
  <c r="D100" i="2"/>
  <c r="F100" i="2"/>
  <c r="G100" i="2"/>
  <c r="D101" i="2"/>
  <c r="F101" i="2"/>
  <c r="G101" i="2"/>
  <c r="D102" i="2"/>
  <c r="F102" i="2"/>
  <c r="G102" i="2"/>
  <c r="D103" i="2"/>
  <c r="F103" i="2"/>
  <c r="G103" i="2"/>
  <c r="D104" i="2"/>
  <c r="F104" i="2"/>
  <c r="G104" i="2"/>
  <c r="D105" i="2"/>
  <c r="F105" i="2"/>
  <c r="G105" i="2"/>
  <c r="D106" i="2"/>
  <c r="F106" i="2"/>
  <c r="G106" i="2"/>
  <c r="D107" i="2"/>
  <c r="F107" i="2"/>
  <c r="G107" i="2"/>
  <c r="D108" i="2"/>
  <c r="F108" i="2"/>
  <c r="G108" i="2"/>
  <c r="D109" i="2"/>
  <c r="F109" i="2"/>
  <c r="G109" i="2"/>
  <c r="D110" i="2"/>
  <c r="F110" i="2"/>
  <c r="G110" i="2"/>
  <c r="D111" i="2"/>
  <c r="F111" i="2"/>
  <c r="G111" i="2"/>
  <c r="D112" i="2"/>
  <c r="F112" i="2"/>
  <c r="G112" i="2"/>
  <c r="D113" i="2"/>
  <c r="F113" i="2"/>
  <c r="G113" i="2"/>
  <c r="D114" i="2"/>
  <c r="F114" i="2"/>
  <c r="G114" i="2"/>
  <c r="D115" i="2"/>
  <c r="F115" i="2"/>
  <c r="G115" i="2"/>
  <c r="D116" i="2"/>
  <c r="F116" i="2"/>
  <c r="G116" i="2"/>
  <c r="D117" i="2"/>
  <c r="F117" i="2"/>
  <c r="G117" i="2"/>
  <c r="D118" i="2"/>
  <c r="F118" i="2"/>
  <c r="G118" i="2"/>
  <c r="D119" i="2"/>
  <c r="F119" i="2"/>
  <c r="G119" i="2"/>
  <c r="D120" i="2"/>
  <c r="F120" i="2"/>
  <c r="G120" i="2"/>
  <c r="D121" i="2"/>
  <c r="F121" i="2"/>
  <c r="G121" i="2"/>
  <c r="D122" i="2"/>
  <c r="F122" i="2"/>
  <c r="G122" i="2"/>
  <c r="D123" i="2"/>
  <c r="F123" i="2"/>
  <c r="G123" i="2"/>
  <c r="D124" i="2"/>
  <c r="F124" i="2"/>
  <c r="G124" i="2"/>
  <c r="D125" i="2"/>
  <c r="F125" i="2"/>
  <c r="G125" i="2"/>
  <c r="D126" i="2"/>
  <c r="F126" i="2"/>
  <c r="G126" i="2"/>
  <c r="D127" i="2"/>
  <c r="F127" i="2"/>
  <c r="G127" i="2"/>
  <c r="D128" i="2"/>
  <c r="F128" i="2"/>
  <c r="G128" i="2"/>
  <c r="D129" i="2"/>
  <c r="F129" i="2"/>
  <c r="G129" i="2"/>
  <c r="D130" i="2"/>
  <c r="F130" i="2"/>
  <c r="G130" i="2"/>
  <c r="D131" i="2"/>
  <c r="F131" i="2"/>
  <c r="G131" i="2"/>
  <c r="D132" i="2"/>
  <c r="F132" i="2"/>
  <c r="G132" i="2"/>
  <c r="D133" i="2"/>
  <c r="F133" i="2"/>
  <c r="G133" i="2"/>
  <c r="D134" i="2"/>
  <c r="F134" i="2"/>
  <c r="G134" i="2"/>
  <c r="D135" i="2"/>
  <c r="F135" i="2"/>
  <c r="G135" i="2"/>
  <c r="D136" i="2"/>
  <c r="F136" i="2"/>
  <c r="G136" i="2"/>
  <c r="D137" i="2"/>
  <c r="F137" i="2"/>
  <c r="G137" i="2"/>
  <c r="D138" i="2"/>
  <c r="F138" i="2"/>
  <c r="G138" i="2"/>
  <c r="D139" i="2"/>
  <c r="F139" i="2"/>
  <c r="G139" i="2"/>
  <c r="D140" i="2"/>
  <c r="F140" i="2"/>
  <c r="G140" i="2"/>
  <c r="D141" i="2"/>
  <c r="F141" i="2"/>
  <c r="G141" i="2"/>
  <c r="D142" i="2"/>
  <c r="F142" i="2"/>
  <c r="G142" i="2"/>
  <c r="D143" i="2"/>
  <c r="F143" i="2"/>
  <c r="G143" i="2"/>
  <c r="D144" i="2"/>
  <c r="F144" i="2"/>
  <c r="G144" i="2"/>
  <c r="D145" i="2"/>
  <c r="F145" i="2"/>
  <c r="G145" i="2"/>
  <c r="D146" i="2"/>
  <c r="F146" i="2"/>
  <c r="G146" i="2"/>
  <c r="D147" i="2"/>
  <c r="F147" i="2"/>
  <c r="G147" i="2"/>
  <c r="D148" i="2"/>
  <c r="F148" i="2"/>
  <c r="G148" i="2"/>
  <c r="D149" i="2"/>
  <c r="F149" i="2"/>
  <c r="G149" i="2"/>
  <c r="D150" i="2"/>
  <c r="F150" i="2"/>
  <c r="G150" i="2"/>
  <c r="D151" i="2"/>
  <c r="F151" i="2"/>
  <c r="G151" i="2"/>
  <c r="D152" i="2"/>
  <c r="F152" i="2"/>
  <c r="G152" i="2"/>
  <c r="D153" i="2"/>
  <c r="F153" i="2"/>
  <c r="G153" i="2"/>
  <c r="D154" i="2"/>
  <c r="F154" i="2"/>
  <c r="G154" i="2"/>
  <c r="D155" i="2"/>
  <c r="F155" i="2"/>
  <c r="G155" i="2"/>
  <c r="D156" i="2"/>
  <c r="F156" i="2"/>
  <c r="G156" i="2"/>
  <c r="D157" i="2"/>
  <c r="F157" i="2"/>
  <c r="G157" i="2"/>
  <c r="D158" i="2"/>
  <c r="F158" i="2"/>
  <c r="G158" i="2"/>
  <c r="D159" i="2"/>
  <c r="F159" i="2"/>
  <c r="G159" i="2"/>
  <c r="D160" i="2"/>
  <c r="F160" i="2"/>
  <c r="G160" i="2"/>
  <c r="D161" i="2"/>
  <c r="F161" i="2"/>
  <c r="G161" i="2"/>
  <c r="D162" i="2"/>
  <c r="F162" i="2"/>
  <c r="G162" i="2"/>
  <c r="D163" i="2"/>
  <c r="F163" i="2"/>
  <c r="G163" i="2"/>
  <c r="D164" i="2"/>
  <c r="F164" i="2"/>
  <c r="G164" i="2"/>
  <c r="D165" i="2"/>
  <c r="F165" i="2"/>
  <c r="G165" i="2"/>
  <c r="D166" i="2"/>
  <c r="F166" i="2"/>
  <c r="G166" i="2"/>
  <c r="D167" i="2"/>
  <c r="F167" i="2"/>
  <c r="G167" i="2"/>
  <c r="D168" i="2"/>
  <c r="F168" i="2"/>
  <c r="G168" i="2"/>
  <c r="D169" i="2"/>
  <c r="F169" i="2"/>
  <c r="G169" i="2"/>
  <c r="D170" i="2"/>
  <c r="F170" i="2"/>
  <c r="G170" i="2"/>
  <c r="D171" i="2"/>
  <c r="F171" i="2"/>
  <c r="G171" i="2"/>
  <c r="D172" i="2"/>
  <c r="F172" i="2"/>
  <c r="G172" i="2"/>
  <c r="D173" i="2"/>
  <c r="F173" i="2"/>
  <c r="G173" i="2"/>
  <c r="D174" i="2"/>
  <c r="F174" i="2"/>
  <c r="G174" i="2"/>
  <c r="D175" i="2"/>
  <c r="F175" i="2"/>
  <c r="G175" i="2"/>
  <c r="D176" i="2"/>
  <c r="F176" i="2"/>
  <c r="G176" i="2"/>
  <c r="D177" i="2"/>
  <c r="F177" i="2"/>
  <c r="G177" i="2"/>
  <c r="D178" i="2"/>
  <c r="F178" i="2"/>
  <c r="G178" i="2"/>
  <c r="D179" i="2"/>
  <c r="F179" i="2"/>
  <c r="G179" i="2"/>
  <c r="D180" i="2"/>
  <c r="F180" i="2"/>
  <c r="G180" i="2"/>
  <c r="D181" i="2"/>
  <c r="F181" i="2"/>
  <c r="G181" i="2"/>
  <c r="D182" i="2"/>
  <c r="F182" i="2"/>
  <c r="G182" i="2"/>
  <c r="D183" i="2"/>
  <c r="F183" i="2"/>
  <c r="G183" i="2"/>
  <c r="D184" i="2"/>
  <c r="F184" i="2"/>
  <c r="G184" i="2"/>
  <c r="D185" i="2"/>
  <c r="F185" i="2"/>
  <c r="G185" i="2"/>
  <c r="D186" i="2"/>
  <c r="D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F186" i="2"/>
  <c r="F4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D203" i="2"/>
  <c r="F203" i="2"/>
  <c r="G203" i="2"/>
  <c r="D204" i="2"/>
  <c r="F204" i="2"/>
  <c r="G204" i="2"/>
  <c r="D205" i="2"/>
  <c r="F205" i="2"/>
  <c r="G205" i="2"/>
  <c r="D206" i="2"/>
  <c r="F206" i="2"/>
  <c r="G206" i="2"/>
  <c r="D207" i="2"/>
  <c r="F207" i="2"/>
  <c r="G207" i="2"/>
  <c r="D208" i="2"/>
  <c r="F208" i="2"/>
  <c r="G208" i="2"/>
  <c r="D209" i="2"/>
  <c r="F209" i="2"/>
  <c r="G209" i="2"/>
  <c r="D210" i="2"/>
  <c r="F210" i="2"/>
  <c r="G210" i="2"/>
  <c r="D211" i="2"/>
  <c r="F211" i="2"/>
  <c r="G211" i="2"/>
  <c r="D212" i="2"/>
  <c r="F212" i="2"/>
  <c r="G212" i="2"/>
  <c r="D213" i="2"/>
  <c r="F213" i="2"/>
  <c r="G213" i="2"/>
  <c r="D214" i="2"/>
  <c r="F214" i="2"/>
  <c r="G214" i="2"/>
  <c r="D215" i="2"/>
  <c r="F215" i="2"/>
  <c r="G215" i="2"/>
  <c r="D216" i="2"/>
  <c r="F216" i="2"/>
  <c r="G216" i="2"/>
  <c r="D217" i="2"/>
  <c r="F217" i="2"/>
  <c r="G217" i="2"/>
  <c r="D218" i="2"/>
  <c r="F218" i="2"/>
  <c r="G218" i="2"/>
  <c r="D219" i="2"/>
  <c r="F219" i="2"/>
  <c r="G219" i="2"/>
  <c r="D220" i="2"/>
  <c r="F220" i="2"/>
  <c r="G220" i="2"/>
  <c r="D221" i="2"/>
  <c r="F221" i="2"/>
  <c r="G221" i="2"/>
  <c r="D222" i="2"/>
  <c r="F222" i="2"/>
  <c r="G222" i="2"/>
  <c r="D223" i="2"/>
  <c r="F223" i="2"/>
  <c r="G223" i="2"/>
  <c r="G4" i="2"/>
  <c r="X239" i="2" s="1"/>
  <c r="N195" i="2"/>
  <c r="O195" i="2"/>
  <c r="P195" i="2"/>
  <c r="Q195" i="2"/>
  <c r="R195" i="2"/>
  <c r="S195" i="2"/>
  <c r="T195" i="2"/>
  <c r="U195" i="2"/>
  <c r="N196" i="2"/>
  <c r="O196" i="2"/>
  <c r="P196" i="2"/>
  <c r="Q196" i="2"/>
  <c r="R196" i="2"/>
  <c r="S196" i="2"/>
  <c r="T196" i="2"/>
  <c r="U196" i="2"/>
  <c r="N197" i="2"/>
  <c r="O197" i="2"/>
  <c r="P197" i="2"/>
  <c r="Q197" i="2"/>
  <c r="R197" i="2"/>
  <c r="S197" i="2"/>
  <c r="T197" i="2"/>
  <c r="U197" i="2"/>
  <c r="N198" i="2"/>
  <c r="O198" i="2"/>
  <c r="P198" i="2"/>
  <c r="Q198" i="2"/>
  <c r="R198" i="2"/>
  <c r="S198" i="2"/>
  <c r="T198" i="2"/>
  <c r="U198" i="2"/>
  <c r="N199" i="2"/>
  <c r="O199" i="2"/>
  <c r="P199" i="2"/>
  <c r="Q199" i="2"/>
  <c r="R199" i="2"/>
  <c r="S199" i="2"/>
  <c r="T199" i="2"/>
  <c r="U199" i="2"/>
  <c r="N200" i="2"/>
  <c r="O200" i="2"/>
  <c r="P200" i="2"/>
  <c r="Q200" i="2"/>
  <c r="R200" i="2"/>
  <c r="S200" i="2"/>
  <c r="T200" i="2"/>
  <c r="U200" i="2"/>
  <c r="N201" i="2"/>
  <c r="O201" i="2"/>
  <c r="P201" i="2"/>
  <c r="Q201" i="2"/>
  <c r="R201" i="2"/>
  <c r="S201" i="2"/>
  <c r="T201" i="2"/>
  <c r="U201" i="2"/>
  <c r="N202" i="2"/>
  <c r="O202" i="2"/>
  <c r="P202" i="2"/>
  <c r="Q202" i="2"/>
  <c r="R202" i="2"/>
  <c r="S202" i="2"/>
  <c r="T202" i="2"/>
  <c r="U202" i="2"/>
  <c r="N203" i="2"/>
  <c r="O203" i="2"/>
  <c r="P203" i="2"/>
  <c r="AL203" i="2" s="1"/>
  <c r="Q203" i="2"/>
  <c r="R203" i="2"/>
  <c r="S203" i="2"/>
  <c r="T203" i="2"/>
  <c r="U203" i="2"/>
  <c r="N204" i="2"/>
  <c r="O204" i="2"/>
  <c r="P204" i="2"/>
  <c r="Q204" i="2"/>
  <c r="R204" i="2"/>
  <c r="S204" i="2"/>
  <c r="T204" i="2"/>
  <c r="U204" i="2"/>
  <c r="N205" i="2"/>
  <c r="O205" i="2"/>
  <c r="P205" i="2"/>
  <c r="AL205" i="2" s="1"/>
  <c r="Q205" i="2"/>
  <c r="R205" i="2"/>
  <c r="S205" i="2"/>
  <c r="T205" i="2"/>
  <c r="U205" i="2"/>
  <c r="N206" i="2"/>
  <c r="O206" i="2"/>
  <c r="P206" i="2"/>
  <c r="AK206" i="2" s="1"/>
  <c r="Q206" i="2"/>
  <c r="R206" i="2"/>
  <c r="S206" i="2"/>
  <c r="T206" i="2"/>
  <c r="U206" i="2"/>
  <c r="N207" i="2"/>
  <c r="O207" i="2"/>
  <c r="P207" i="2"/>
  <c r="Q207" i="2"/>
  <c r="R207" i="2"/>
  <c r="S207" i="2"/>
  <c r="T207" i="2"/>
  <c r="U207" i="2"/>
  <c r="AL207" i="2" s="1"/>
  <c r="N208" i="2"/>
  <c r="O208" i="2"/>
  <c r="P208" i="2"/>
  <c r="Q208" i="2"/>
  <c r="R208" i="2"/>
  <c r="S208" i="2"/>
  <c r="T208" i="2"/>
  <c r="U208" i="2"/>
  <c r="N209" i="2"/>
  <c r="O209" i="2"/>
  <c r="P209" i="2"/>
  <c r="Q209" i="2"/>
  <c r="R209" i="2"/>
  <c r="S209" i="2"/>
  <c r="T209" i="2"/>
  <c r="U209" i="2"/>
  <c r="N210" i="2"/>
  <c r="O210" i="2"/>
  <c r="P210" i="2"/>
  <c r="Q210" i="2"/>
  <c r="R210" i="2"/>
  <c r="S210" i="2"/>
  <c r="T210" i="2"/>
  <c r="U210" i="2"/>
  <c r="N211" i="2"/>
  <c r="O211" i="2"/>
  <c r="P211" i="2"/>
  <c r="Q211" i="2"/>
  <c r="R211" i="2"/>
  <c r="S211" i="2"/>
  <c r="T211" i="2"/>
  <c r="U211" i="2"/>
  <c r="N212" i="2"/>
  <c r="O212" i="2"/>
  <c r="P212" i="2"/>
  <c r="Q212" i="2"/>
  <c r="R212" i="2"/>
  <c r="S212" i="2"/>
  <c r="T212" i="2"/>
  <c r="U212" i="2"/>
  <c r="N213" i="2"/>
  <c r="O213" i="2"/>
  <c r="P213" i="2"/>
  <c r="Q213" i="2"/>
  <c r="R213" i="2"/>
  <c r="S213" i="2"/>
  <c r="T213" i="2"/>
  <c r="U213" i="2"/>
  <c r="N214" i="2"/>
  <c r="O214" i="2"/>
  <c r="P214" i="2"/>
  <c r="Q214" i="2"/>
  <c r="R214" i="2"/>
  <c r="S214" i="2"/>
  <c r="T214" i="2"/>
  <c r="U214" i="2"/>
  <c r="N215" i="2"/>
  <c r="O215" i="2"/>
  <c r="P215" i="2"/>
  <c r="Q215" i="2"/>
  <c r="R215" i="2"/>
  <c r="S215" i="2"/>
  <c r="T215" i="2"/>
  <c r="U215" i="2"/>
  <c r="N216" i="2"/>
  <c r="O216" i="2"/>
  <c r="P216" i="2"/>
  <c r="Q216" i="2"/>
  <c r="R216" i="2"/>
  <c r="S216" i="2"/>
  <c r="T216" i="2"/>
  <c r="U216" i="2"/>
  <c r="N217" i="2"/>
  <c r="O217" i="2"/>
  <c r="P217" i="2"/>
  <c r="Q217" i="2"/>
  <c r="R217" i="2"/>
  <c r="S217" i="2"/>
  <c r="T217" i="2"/>
  <c r="U217" i="2"/>
  <c r="N218" i="2"/>
  <c r="O218" i="2"/>
  <c r="P218" i="2"/>
  <c r="Q218" i="2"/>
  <c r="R218" i="2"/>
  <c r="S218" i="2"/>
  <c r="T218" i="2"/>
  <c r="U218" i="2"/>
  <c r="N219" i="2"/>
  <c r="O219" i="2"/>
  <c r="P219" i="2"/>
  <c r="Q219" i="2"/>
  <c r="R219" i="2"/>
  <c r="S219" i="2"/>
  <c r="T219" i="2"/>
  <c r="U219" i="2"/>
  <c r="N220" i="2"/>
  <c r="O220" i="2"/>
  <c r="P220" i="2"/>
  <c r="Q220" i="2"/>
  <c r="R220" i="2"/>
  <c r="S220" i="2"/>
  <c r="T220" i="2"/>
  <c r="U220" i="2"/>
  <c r="N221" i="2"/>
  <c r="O221" i="2"/>
  <c r="P221" i="2"/>
  <c r="Q221" i="2"/>
  <c r="R221" i="2"/>
  <c r="S221" i="2"/>
  <c r="T221" i="2"/>
  <c r="U221" i="2"/>
  <c r="N222" i="2"/>
  <c r="O222" i="2"/>
  <c r="P222" i="2"/>
  <c r="Q222" i="2"/>
  <c r="R222" i="2"/>
  <c r="S222" i="2"/>
  <c r="T222" i="2"/>
  <c r="U222" i="2"/>
  <c r="N223" i="2"/>
  <c r="O223" i="2"/>
  <c r="P223" i="2"/>
  <c r="Q223" i="2"/>
  <c r="R223" i="2"/>
  <c r="S223" i="2"/>
  <c r="T223" i="2"/>
  <c r="U223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0" i="2"/>
  <c r="AG201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5" i="2"/>
  <c r="AG216" i="2"/>
  <c r="AG217" i="2"/>
  <c r="AG218" i="2"/>
  <c r="AG219" i="2"/>
  <c r="AG220" i="2"/>
  <c r="AG221" i="2"/>
  <c r="AG222" i="2"/>
  <c r="AG223" i="2"/>
  <c r="AG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4" i="2"/>
  <c r="X255" i="2"/>
  <c r="AE255" i="2"/>
  <c r="AB255" i="2"/>
  <c r="AA255" i="2"/>
  <c r="AD254" i="2"/>
  <c r="AB254" i="2"/>
  <c r="AD255" i="2"/>
  <c r="Y255" i="2"/>
  <c r="AA254" i="2"/>
  <c r="X254" i="2"/>
  <c r="AC255" i="2"/>
  <c r="AE254" i="2"/>
  <c r="Z254" i="2"/>
  <c r="AC254" i="2"/>
  <c r="W81" i="2"/>
  <c r="AJ81" i="2" s="1"/>
  <c r="W83" i="2"/>
  <c r="AJ83" i="2" s="1"/>
  <c r="W129" i="2"/>
  <c r="AJ129" i="2" s="1"/>
  <c r="W82" i="2"/>
  <c r="AJ82" i="2" s="1"/>
  <c r="W18" i="2"/>
  <c r="W6" i="2"/>
  <c r="AJ6" i="2" s="1"/>
  <c r="W108" i="2"/>
  <c r="AJ108" i="2" s="1"/>
  <c r="W92" i="2"/>
  <c r="AJ92" i="2" s="1"/>
  <c r="W116" i="2"/>
  <c r="W27" i="2"/>
  <c r="W199" i="2"/>
  <c r="AJ199" i="2" s="1"/>
  <c r="W76" i="2"/>
  <c r="AJ76" i="2" s="1"/>
  <c r="W148" i="2"/>
  <c r="AJ148" i="2" s="1"/>
  <c r="W104" i="2"/>
  <c r="AJ104" i="2" s="1"/>
  <c r="W100" i="2"/>
  <c r="AJ100" i="2" s="1"/>
  <c r="W96" i="2"/>
  <c r="AJ96" i="2" s="1"/>
  <c r="W59" i="2"/>
  <c r="W35" i="2"/>
  <c r="AJ35" i="2" s="1"/>
  <c r="W125" i="2"/>
  <c r="AJ125" i="2" s="1"/>
  <c r="W133" i="2"/>
  <c r="AJ133" i="2" s="1"/>
  <c r="W89" i="2"/>
  <c r="W52" i="2"/>
  <c r="W32" i="2"/>
  <c r="AJ32" i="2" s="1"/>
  <c r="W189" i="2"/>
  <c r="W186" i="2"/>
  <c r="AJ186" i="2" s="1"/>
  <c r="W184" i="2"/>
  <c r="AJ184" i="2" s="1"/>
  <c r="W180" i="2"/>
  <c r="AJ180" i="2" s="1"/>
  <c r="W107" i="2"/>
  <c r="AJ107" i="2" s="1"/>
  <c r="W56" i="2"/>
  <c r="AJ56" i="2" s="1"/>
  <c r="W221" i="2"/>
  <c r="W213" i="2"/>
  <c r="AJ213" i="2" s="1"/>
  <c r="W205" i="2"/>
  <c r="W201" i="2"/>
  <c r="W197" i="2"/>
  <c r="W117" i="2"/>
  <c r="AJ117" i="2" s="1"/>
  <c r="W67" i="2"/>
  <c r="W45" i="2"/>
  <c r="W26" i="2"/>
  <c r="X244" i="2"/>
  <c r="AC249" i="2"/>
  <c r="I4" i="5"/>
  <c r="W146" i="2"/>
  <c r="W118" i="2"/>
  <c r="W50" i="2"/>
  <c r="Y249" i="2"/>
  <c r="W54" i="2"/>
  <c r="W34" i="2"/>
  <c r="AJ34" i="2" s="1"/>
  <c r="AL66" i="2"/>
  <c r="AC250" i="2"/>
  <c r="AC248" i="2"/>
  <c r="AC308" i="2" s="1"/>
  <c r="AJ59" i="2"/>
  <c r="AJ197" i="2"/>
  <c r="AJ21" i="2"/>
  <c r="AJ50" i="2"/>
  <c r="AJ54" i="2"/>
  <c r="AJ67" i="2"/>
  <c r="AJ89" i="2"/>
  <c r="AL204" i="2"/>
  <c r="AJ146" i="2"/>
  <c r="W141" i="2"/>
  <c r="W14" i="2"/>
  <c r="AJ14" i="2" s="1"/>
  <c r="W132" i="2"/>
  <c r="W77" i="2"/>
  <c r="AJ77" i="2" s="1"/>
  <c r="W72" i="2"/>
  <c r="AJ72" i="2" s="1"/>
  <c r="W13" i="2"/>
  <c r="AJ13" i="2" s="1"/>
  <c r="W143" i="2"/>
  <c r="AJ143" i="2" s="1"/>
  <c r="W144" i="2"/>
  <c r="AJ144" i="2" s="1"/>
  <c r="W91" i="2"/>
  <c r="AJ91" i="2" s="1"/>
  <c r="W145" i="2"/>
  <c r="W48" i="2"/>
  <c r="W106" i="2"/>
  <c r="W65" i="2"/>
  <c r="W160" i="2"/>
  <c r="W68" i="2"/>
  <c r="AJ68" i="2" s="1"/>
  <c r="W192" i="2"/>
  <c r="AJ192" i="2" s="1"/>
  <c r="AB245" i="2"/>
  <c r="AB249" i="2"/>
  <c r="AB250" i="2"/>
  <c r="AB244" i="2"/>
  <c r="H4" i="5"/>
  <c r="AB248" i="2"/>
  <c r="AB308" i="2" s="1"/>
  <c r="I3" i="5"/>
  <c r="I15" i="5" s="1"/>
  <c r="G4" i="5"/>
  <c r="AA248" i="2"/>
  <c r="AA249" i="2"/>
  <c r="AA245" i="2"/>
  <c r="X245" i="2"/>
  <c r="X248" i="2"/>
  <c r="X249" i="2"/>
  <c r="X250" i="2"/>
  <c r="D4" i="5"/>
  <c r="AJ160" i="2"/>
  <c r="AE243" i="2"/>
  <c r="AE245" i="2"/>
  <c r="E3" i="5"/>
  <c r="E15" i="5" s="1"/>
  <c r="X324" i="2"/>
  <c r="Y324" i="2" s="1"/>
  <c r="Z324" i="2" s="1"/>
  <c r="AA324" i="2" s="1"/>
  <c r="AB324" i="2" s="1"/>
  <c r="AC324" i="2" s="1"/>
  <c r="AD324" i="2" s="1"/>
  <c r="AE324" i="2" s="1"/>
  <c r="AJ145" i="2"/>
  <c r="W153" i="2" l="1"/>
  <c r="AJ136" i="2"/>
  <c r="AI136" i="2"/>
  <c r="AJ182" i="2"/>
  <c r="AI182" i="2"/>
  <c r="Z249" i="2"/>
  <c r="Z244" i="2"/>
  <c r="F4" i="5"/>
  <c r="Z250" i="2"/>
  <c r="Z245" i="2"/>
  <c r="Z248" i="2"/>
  <c r="AL216" i="2"/>
  <c r="W33" i="2"/>
  <c r="W222" i="2"/>
  <c r="W218" i="2"/>
  <c r="W214" i="2"/>
  <c r="W210" i="2"/>
  <c r="AJ210" i="2" s="1"/>
  <c r="W206" i="2"/>
  <c r="AI206" i="2" s="1"/>
  <c r="W202" i="2"/>
  <c r="AJ202" i="2" s="1"/>
  <c r="W198" i="2"/>
  <c r="AI198" i="2" s="1"/>
  <c r="W194" i="2"/>
  <c r="AJ194" i="2" s="1"/>
  <c r="W176" i="2"/>
  <c r="W169" i="2"/>
  <c r="AJ169" i="2" s="1"/>
  <c r="AI105" i="2"/>
  <c r="AP151" i="2"/>
  <c r="AP144" i="2"/>
  <c r="AP135" i="2"/>
  <c r="Y245" i="2"/>
  <c r="AL221" i="2"/>
  <c r="W94" i="2"/>
  <c r="W36" i="2"/>
  <c r="W4" i="2"/>
  <c r="AL194" i="2"/>
  <c r="AP146" i="2"/>
  <c r="AP143" i="2"/>
  <c r="AP133" i="2"/>
  <c r="K4" i="5"/>
  <c r="AA250" i="2"/>
  <c r="AK201" i="2"/>
  <c r="W11" i="2"/>
  <c r="AE250" i="2"/>
  <c r="W175" i="2"/>
  <c r="AJ175" i="2" s="1"/>
  <c r="AL220" i="2"/>
  <c r="AL219" i="2"/>
  <c r="AL212" i="2"/>
  <c r="AL209" i="2"/>
  <c r="W220" i="2"/>
  <c r="W212" i="2"/>
  <c r="W204" i="2"/>
  <c r="AJ204" i="2" s="1"/>
  <c r="W196" i="2"/>
  <c r="AB252" i="2"/>
  <c r="H10" i="5" s="1"/>
  <c r="AL192" i="2"/>
  <c r="AL191" i="2"/>
  <c r="AL188" i="2"/>
  <c r="AK187" i="2"/>
  <c r="AL186" i="2"/>
  <c r="AL183" i="2"/>
  <c r="AL181" i="2"/>
  <c r="AK180" i="2"/>
  <c r="AM180" i="2" s="1"/>
  <c r="AL179" i="2"/>
  <c r="AL177" i="2"/>
  <c r="AL176" i="2"/>
  <c r="AL175" i="2"/>
  <c r="AK165" i="2"/>
  <c r="AL157" i="2"/>
  <c r="AL155" i="2"/>
  <c r="AL152" i="2"/>
  <c r="AL123" i="2"/>
  <c r="AL121" i="2"/>
  <c r="AL120" i="2"/>
  <c r="AL103" i="2"/>
  <c r="AK85" i="2"/>
  <c r="AL71" i="2"/>
  <c r="AL62" i="2"/>
  <c r="AL52" i="2"/>
  <c r="AL21" i="2"/>
  <c r="AK222" i="2"/>
  <c r="W181" i="2"/>
  <c r="W90" i="2"/>
  <c r="W24" i="2"/>
  <c r="AJ24" i="2" s="1"/>
  <c r="W8" i="2"/>
  <c r="AJ8" i="2" s="1"/>
  <c r="AK214" i="2"/>
  <c r="AL208" i="2"/>
  <c r="AE244" i="2"/>
  <c r="AL193" i="2"/>
  <c r="AK194" i="2"/>
  <c r="AP223" i="2"/>
  <c r="AP222" i="2"/>
  <c r="AP221" i="2"/>
  <c r="AP220" i="2"/>
  <c r="AP219" i="2"/>
  <c r="AP218" i="2"/>
  <c r="AP217" i="2"/>
  <c r="AP216" i="2"/>
  <c r="AP215" i="2"/>
  <c r="AP214" i="2"/>
  <c r="AP213" i="2"/>
  <c r="AP212" i="2"/>
  <c r="AP211" i="2"/>
  <c r="AP210" i="2"/>
  <c r="AP209" i="2"/>
  <c r="AP208" i="2"/>
  <c r="AP207" i="2"/>
  <c r="AP206" i="2"/>
  <c r="AP205" i="2"/>
  <c r="AP204" i="2"/>
  <c r="AP203" i="2"/>
  <c r="AP202" i="2"/>
  <c r="AP201" i="2"/>
  <c r="AP200" i="2"/>
  <c r="AP199" i="2"/>
  <c r="AP198" i="2"/>
  <c r="AP197" i="2"/>
  <c r="AP196" i="2"/>
  <c r="AP195" i="2"/>
  <c r="W187" i="2"/>
  <c r="AJ187" i="2" s="1"/>
  <c r="W121" i="2"/>
  <c r="AI133" i="2"/>
  <c r="AI48" i="2"/>
  <c r="AI168" i="2"/>
  <c r="AI199" i="2"/>
  <c r="AI7" i="2"/>
  <c r="AI69" i="2"/>
  <c r="AI183" i="2"/>
  <c r="AJ215" i="2"/>
  <c r="AI215" i="2"/>
  <c r="AJ167" i="2"/>
  <c r="AI167" i="2"/>
  <c r="AJ36" i="2"/>
  <c r="AI36" i="2"/>
  <c r="AI208" i="2"/>
  <c r="AJ208" i="2"/>
  <c r="AJ216" i="2"/>
  <c r="AI216" i="2"/>
  <c r="AI200" i="2"/>
  <c r="AJ200" i="2"/>
  <c r="AJ201" i="2"/>
  <c r="AI201" i="2"/>
  <c r="AL217" i="2"/>
  <c r="AK185" i="2"/>
  <c r="AL185" i="2"/>
  <c r="AI161" i="2"/>
  <c r="AD245" i="2"/>
  <c r="AI96" i="2"/>
  <c r="AJ217" i="2"/>
  <c r="AJ116" i="2"/>
  <c r="AI116" i="2"/>
  <c r="AL215" i="2"/>
  <c r="AC236" i="2"/>
  <c r="I8" i="5" s="1"/>
  <c r="AC233" i="2"/>
  <c r="I7" i="5" s="1"/>
  <c r="AD236" i="2"/>
  <c r="J8" i="5" s="1"/>
  <c r="AI219" i="2"/>
  <c r="AI207" i="2"/>
  <c r="AJ207" i="2"/>
  <c r="AJ181" i="2"/>
  <c r="AI181" i="2"/>
  <c r="AI94" i="2"/>
  <c r="AJ94" i="2"/>
  <c r="X230" i="2"/>
  <c r="D6" i="5" s="1"/>
  <c r="AB230" i="2"/>
  <c r="H6" i="5" s="1"/>
  <c r="Y230" i="2"/>
  <c r="E6" i="5" s="1"/>
  <c r="Z230" i="2"/>
  <c r="F6" i="5" s="1"/>
  <c r="AJ222" i="2"/>
  <c r="AI222" i="2"/>
  <c r="AI218" i="2"/>
  <c r="AJ218" i="2"/>
  <c r="AJ212" i="2"/>
  <c r="AI212" i="2"/>
  <c r="AD244" i="2"/>
  <c r="AI197" i="2"/>
  <c r="AI50" i="2"/>
  <c r="AI187" i="2"/>
  <c r="AI129" i="2"/>
  <c r="AI6" i="2"/>
  <c r="AI108" i="2"/>
  <c r="AI184" i="2"/>
  <c r="AD250" i="2"/>
  <c r="AI76" i="2"/>
  <c r="AI89" i="2"/>
  <c r="AI142" i="2"/>
  <c r="AI95" i="2"/>
  <c r="AI83" i="2"/>
  <c r="AI192" i="2"/>
  <c r="AI82" i="2"/>
  <c r="J4" i="5"/>
  <c r="AD249" i="2"/>
  <c r="AI125" i="2"/>
  <c r="AI165" i="2"/>
  <c r="AI38" i="2"/>
  <c r="AI54" i="2"/>
  <c r="AI209" i="2"/>
  <c r="AI186" i="2"/>
  <c r="AK189" i="2"/>
  <c r="AL189" i="2"/>
  <c r="AI84" i="2"/>
  <c r="AI175" i="2"/>
  <c r="AJ141" i="2"/>
  <c r="AI141" i="2"/>
  <c r="AI59" i="2"/>
  <c r="AL180" i="2"/>
  <c r="AK221" i="2"/>
  <c r="AM221" i="2" s="1"/>
  <c r="AK199" i="2"/>
  <c r="AL197" i="2"/>
  <c r="AK196" i="2"/>
  <c r="Y233" i="2"/>
  <c r="E7" i="5" s="1"/>
  <c r="G224" i="2"/>
  <c r="F224" i="2"/>
  <c r="AJ203" i="2"/>
  <c r="AI203" i="2"/>
  <c r="AJ177" i="2"/>
  <c r="AI177" i="2"/>
  <c r="AI159" i="2"/>
  <c r="AI122" i="2"/>
  <c r="AI90" i="2"/>
  <c r="AJ4" i="2"/>
  <c r="AI4" i="2"/>
  <c r="AJ122" i="2"/>
  <c r="AI117" i="2"/>
  <c r="AI81" i="2"/>
  <c r="AE230" i="2"/>
  <c r="K6" i="5" s="1"/>
  <c r="AK186" i="2"/>
  <c r="AM186" i="2" s="1"/>
  <c r="AJ198" i="2"/>
  <c r="AI180" i="2"/>
  <c r="AI21" i="2"/>
  <c r="AI169" i="2"/>
  <c r="AI22" i="2"/>
  <c r="AJ22" i="2"/>
  <c r="AI58" i="2"/>
  <c r="AJ58" i="2"/>
  <c r="AJ26" i="2"/>
  <c r="AI26" i="2"/>
  <c r="AJ189" i="2"/>
  <c r="AI189" i="2"/>
  <c r="AJ159" i="2"/>
  <c r="AJ18" i="2"/>
  <c r="AI18" i="2"/>
  <c r="AQ205" i="2"/>
  <c r="AO205" i="2"/>
  <c r="AK205" i="2"/>
  <c r="AM205" i="2" s="1"/>
  <c r="AQ204" i="2"/>
  <c r="AO204" i="2"/>
  <c r="AQ203" i="2"/>
  <c r="AO203" i="2"/>
  <c r="AQ202" i="2"/>
  <c r="AO202" i="2"/>
  <c r="AK202" i="2"/>
  <c r="AQ201" i="2"/>
  <c r="AO201" i="2"/>
  <c r="AQ200" i="2"/>
  <c r="AO200" i="2"/>
  <c r="AL200" i="2"/>
  <c r="W134" i="2"/>
  <c r="AI134" i="2" s="1"/>
  <c r="AJ121" i="2"/>
  <c r="AI121" i="2"/>
  <c r="AI112" i="2"/>
  <c r="AJ64" i="2"/>
  <c r="AI64" i="2"/>
  <c r="AJ11" i="2"/>
  <c r="AI11" i="2"/>
  <c r="AL213" i="2"/>
  <c r="AK213" i="2"/>
  <c r="AI214" i="2"/>
  <c r="AJ214" i="2"/>
  <c r="AJ196" i="2"/>
  <c r="AI196" i="2"/>
  <c r="AJ176" i="2"/>
  <c r="AI176" i="2"/>
  <c r="AJ171" i="2"/>
  <c r="AI171" i="2"/>
  <c r="D224" i="2"/>
  <c r="Z233" i="2"/>
  <c r="F7" i="5" s="1"/>
  <c r="X233" i="2"/>
  <c r="D7" i="5" s="1"/>
  <c r="AD239" i="2"/>
  <c r="J9" i="5" s="1"/>
  <c r="AB239" i="2"/>
  <c r="H9" i="5" s="1"/>
  <c r="AC239" i="2"/>
  <c r="I9" i="5" s="1"/>
  <c r="Z239" i="2"/>
  <c r="F9" i="5" s="1"/>
  <c r="AJ211" i="2"/>
  <c r="AI211" i="2"/>
  <c r="AJ195" i="2"/>
  <c r="AI195" i="2"/>
  <c r="AI109" i="2"/>
  <c r="AI101" i="2"/>
  <c r="AJ101" i="2"/>
  <c r="AJ20" i="2"/>
  <c r="AI20" i="2"/>
  <c r="AJ219" i="2"/>
  <c r="AI193" i="2"/>
  <c r="AI179" i="2"/>
  <c r="AI151" i="2"/>
  <c r="AE239" i="2"/>
  <c r="K9" i="5" s="1"/>
  <c r="AJ132" i="2"/>
  <c r="AI132" i="2"/>
  <c r="AI34" i="2"/>
  <c r="AI100" i="2"/>
  <c r="AJ118" i="2"/>
  <c r="AI118" i="2"/>
  <c r="AI41" i="2"/>
  <c r="AJ153" i="2"/>
  <c r="AI153" i="2"/>
  <c r="AI190" i="2"/>
  <c r="AJ190" i="2"/>
  <c r="AI27" i="2"/>
  <c r="AJ27" i="2"/>
  <c r="AK211" i="2"/>
  <c r="AI160" i="2"/>
  <c r="AI45" i="2"/>
  <c r="AI205" i="2"/>
  <c r="AI221" i="2"/>
  <c r="AI52" i="2"/>
  <c r="AK223" i="2"/>
  <c r="AQ223" i="2"/>
  <c r="AO223" i="2"/>
  <c r="AQ222" i="2"/>
  <c r="AO222" i="2"/>
  <c r="AK203" i="2"/>
  <c r="AM203" i="2" s="1"/>
  <c r="AL202" i="2"/>
  <c r="AQ199" i="2"/>
  <c r="AO199" i="2"/>
  <c r="AQ198" i="2"/>
  <c r="AO198" i="2"/>
  <c r="AQ197" i="2"/>
  <c r="AO197" i="2"/>
  <c r="AQ196" i="2"/>
  <c r="AO196" i="2"/>
  <c r="AQ195" i="2"/>
  <c r="AO195" i="2"/>
  <c r="W43" i="2"/>
  <c r="AK192" i="2"/>
  <c r="AM192" i="2" s="1"/>
  <c r="AI145" i="2"/>
  <c r="AL196" i="2"/>
  <c r="AL199" i="2"/>
  <c r="AL223" i="2"/>
  <c r="AJ41" i="2"/>
  <c r="AJ205" i="2"/>
  <c r="AI30" i="2"/>
  <c r="AI98" i="2"/>
  <c r="AI67" i="2"/>
  <c r="AQ221" i="2"/>
  <c r="AO221" i="2"/>
  <c r="AO220" i="2"/>
  <c r="AQ220" i="2"/>
  <c r="AQ219" i="2"/>
  <c r="AO219" i="2"/>
  <c r="AK218" i="2"/>
  <c r="AQ218" i="2"/>
  <c r="AO218" i="2"/>
  <c r="AQ217" i="2"/>
  <c r="AO217" i="2"/>
  <c r="AQ216" i="2"/>
  <c r="AO216" i="2"/>
  <c r="AK215" i="2"/>
  <c r="AM215" i="2" s="1"/>
  <c r="AQ215" i="2"/>
  <c r="AO215" i="2"/>
  <c r="AQ214" i="2"/>
  <c r="AO214" i="2"/>
  <c r="AL201" i="2"/>
  <c r="AM201" i="2" s="1"/>
  <c r="AI80" i="2"/>
  <c r="AI63" i="2"/>
  <c r="AI106" i="2"/>
  <c r="AI91" i="2"/>
  <c r="AL195" i="2"/>
  <c r="AI56" i="2"/>
  <c r="AI146" i="2"/>
  <c r="AI178" i="2"/>
  <c r="AK219" i="2"/>
  <c r="AM219" i="2" s="1"/>
  <c r="AQ213" i="2"/>
  <c r="AO213" i="2"/>
  <c r="AK212" i="2"/>
  <c r="AM212" i="2" s="1"/>
  <c r="AQ212" i="2"/>
  <c r="AO212" i="2"/>
  <c r="AQ211" i="2"/>
  <c r="AO211" i="2"/>
  <c r="AK210" i="2"/>
  <c r="AL210" i="2"/>
  <c r="AQ210" i="2"/>
  <c r="AO210" i="2"/>
  <c r="AQ209" i="2"/>
  <c r="AO209" i="2"/>
  <c r="AO208" i="2"/>
  <c r="AQ208" i="2"/>
  <c r="AQ207" i="2"/>
  <c r="AO207" i="2"/>
  <c r="AQ206" i="2"/>
  <c r="AO206" i="2"/>
  <c r="AK197" i="2"/>
  <c r="AM197" i="2" s="1"/>
  <c r="W60" i="2"/>
  <c r="W185" i="2"/>
  <c r="W51" i="2"/>
  <c r="AL187" i="2"/>
  <c r="AK183" i="2"/>
  <c r="AK181" i="2"/>
  <c r="AM181" i="2" s="1"/>
  <c r="AK179" i="2"/>
  <c r="AM179" i="2" s="1"/>
  <c r="AK177" i="2"/>
  <c r="AM177" i="2" s="1"/>
  <c r="AK176" i="2"/>
  <c r="AM176" i="2" s="1"/>
  <c r="AK175" i="2"/>
  <c r="AM175" i="2" s="1"/>
  <c r="AL171" i="2"/>
  <c r="AK170" i="2"/>
  <c r="AL169" i="2"/>
  <c r="AL168" i="2"/>
  <c r="AL166" i="2"/>
  <c r="AL165" i="2"/>
  <c r="AL160" i="2"/>
  <c r="AL159" i="2"/>
  <c r="AL107" i="2"/>
  <c r="AL106" i="2"/>
  <c r="AK105" i="2"/>
  <c r="AL102" i="2"/>
  <c r="AK98" i="2"/>
  <c r="W191" i="2"/>
  <c r="W166" i="2"/>
  <c r="AI166" i="2" s="1"/>
  <c r="W158" i="2"/>
  <c r="W154" i="2"/>
  <c r="AJ154" i="2" s="1"/>
  <c r="Y252" i="2"/>
  <c r="E10" i="5" s="1"/>
  <c r="AQ194" i="2"/>
  <c r="AO194" i="2"/>
  <c r="AQ193" i="2"/>
  <c r="AO193" i="2"/>
  <c r="AK191" i="2"/>
  <c r="AM191" i="2" s="1"/>
  <c r="AK188" i="2"/>
  <c r="AM188" i="2" s="1"/>
  <c r="W12" i="2"/>
  <c r="AJ12" i="2" s="1"/>
  <c r="W114" i="2"/>
  <c r="W110" i="2"/>
  <c r="AJ110" i="2" s="1"/>
  <c r="W102" i="2"/>
  <c r="W44" i="2"/>
  <c r="W25" i="2"/>
  <c r="W170" i="2"/>
  <c r="AJ170" i="2" s="1"/>
  <c r="W73" i="2"/>
  <c r="AI223" i="2"/>
  <c r="AQ192" i="2"/>
  <c r="AO192" i="2"/>
  <c r="AQ191" i="2"/>
  <c r="AO191" i="2"/>
  <c r="AQ190" i="2"/>
  <c r="AO190" i="2"/>
  <c r="AQ189" i="2"/>
  <c r="AO189" i="2"/>
  <c r="AO188" i="2"/>
  <c r="AQ188" i="2"/>
  <c r="AQ187" i="2"/>
  <c r="AO187" i="2"/>
  <c r="AQ186" i="2"/>
  <c r="AO186" i="2"/>
  <c r="AQ185" i="2"/>
  <c r="AO185" i="2"/>
  <c r="AQ184" i="2"/>
  <c r="AO184" i="2"/>
  <c r="AQ183" i="2"/>
  <c r="AO183" i="2"/>
  <c r="AQ182" i="2"/>
  <c r="AO182" i="2"/>
  <c r="AQ181" i="2"/>
  <c r="AO181" i="2"/>
  <c r="AO180" i="2"/>
  <c r="AQ180" i="2"/>
  <c r="AQ179" i="2"/>
  <c r="AO179" i="2"/>
  <c r="AQ178" i="2"/>
  <c r="AO178" i="2"/>
  <c r="AQ177" i="2"/>
  <c r="AO177" i="2"/>
  <c r="AQ176" i="2"/>
  <c r="AO176" i="2"/>
  <c r="AQ175" i="2"/>
  <c r="AO175" i="2"/>
  <c r="AQ174" i="2"/>
  <c r="AO174" i="2"/>
  <c r="AQ173" i="2"/>
  <c r="AO173" i="2"/>
  <c r="AO172" i="2"/>
  <c r="AQ172" i="2"/>
  <c r="AQ171" i="2"/>
  <c r="AO171" i="2"/>
  <c r="AQ170" i="2"/>
  <c r="AO170" i="2"/>
  <c r="AQ169" i="2"/>
  <c r="AO169" i="2"/>
  <c r="AQ168" i="2"/>
  <c r="AO168" i="2"/>
  <c r="AQ167" i="2"/>
  <c r="AO167" i="2"/>
  <c r="AQ166" i="2"/>
  <c r="AO166" i="2"/>
  <c r="AQ165" i="2"/>
  <c r="AO165" i="2"/>
  <c r="AQ164" i="2"/>
  <c r="AO164" i="2"/>
  <c r="AQ163" i="2"/>
  <c r="AO163" i="2"/>
  <c r="AQ162" i="2"/>
  <c r="AO162" i="2"/>
  <c r="AQ161" i="2"/>
  <c r="AO161" i="2"/>
  <c r="AQ160" i="2"/>
  <c r="AO160" i="2"/>
  <c r="AQ159" i="2"/>
  <c r="AO159" i="2"/>
  <c r="AQ158" i="2"/>
  <c r="AO158" i="2"/>
  <c r="AQ157" i="2"/>
  <c r="AO157" i="2"/>
  <c r="AQ156" i="2"/>
  <c r="AO156" i="2"/>
  <c r="AQ155" i="2"/>
  <c r="AO155" i="2"/>
  <c r="AQ154" i="2"/>
  <c r="AO154" i="2"/>
  <c r="AQ153" i="2"/>
  <c r="AO153" i="2"/>
  <c r="AQ152" i="2"/>
  <c r="AO152" i="2"/>
  <c r="AQ151" i="2"/>
  <c r="AO151" i="2"/>
  <c r="AQ150" i="2"/>
  <c r="AO150" i="2"/>
  <c r="AQ149" i="2"/>
  <c r="AO149" i="2"/>
  <c r="AQ148" i="2"/>
  <c r="AO148" i="2"/>
  <c r="AQ147" i="2"/>
  <c r="AO147" i="2"/>
  <c r="AQ146" i="2"/>
  <c r="AO146" i="2"/>
  <c r="AQ145" i="2"/>
  <c r="AO145" i="2"/>
  <c r="AO144" i="2"/>
  <c r="AQ144" i="2"/>
  <c r="AQ143" i="2"/>
  <c r="AO143" i="2"/>
  <c r="AQ142" i="2"/>
  <c r="AO142" i="2"/>
  <c r="AQ141" i="2"/>
  <c r="AO141" i="2"/>
  <c r="AO140" i="2"/>
  <c r="AQ140" i="2"/>
  <c r="AQ139" i="2"/>
  <c r="AO139" i="2"/>
  <c r="AQ138" i="2"/>
  <c r="AO138" i="2"/>
  <c r="AQ137" i="2"/>
  <c r="AO137" i="2"/>
  <c r="AQ136" i="2"/>
  <c r="AO136" i="2"/>
  <c r="AQ135" i="2"/>
  <c r="AO135" i="2"/>
  <c r="AQ134" i="2"/>
  <c r="AO134" i="2"/>
  <c r="AQ133" i="2"/>
  <c r="AO133" i="2"/>
  <c r="AO132" i="2"/>
  <c r="AQ132" i="2"/>
  <c r="AQ131" i="2"/>
  <c r="AO131" i="2"/>
  <c r="AQ130" i="2"/>
  <c r="AO130" i="2"/>
  <c r="AQ129" i="2"/>
  <c r="AO129" i="2"/>
  <c r="AQ128" i="2"/>
  <c r="AO128" i="2"/>
  <c r="AQ127" i="2"/>
  <c r="AO127" i="2"/>
  <c r="AQ126" i="2"/>
  <c r="AO126" i="2"/>
  <c r="AQ125" i="2"/>
  <c r="AO125" i="2"/>
  <c r="AO124" i="2"/>
  <c r="AQ124" i="2"/>
  <c r="AQ123" i="2"/>
  <c r="AO123" i="2"/>
  <c r="AQ122" i="2"/>
  <c r="AO122" i="2"/>
  <c r="AQ121" i="2"/>
  <c r="AO121" i="2"/>
  <c r="AQ120" i="2"/>
  <c r="AO120" i="2"/>
  <c r="AQ119" i="2"/>
  <c r="AO119" i="2"/>
  <c r="AQ118" i="2"/>
  <c r="AO118" i="2"/>
  <c r="AL117" i="2"/>
  <c r="AQ117" i="2"/>
  <c r="AO117" i="2"/>
  <c r="AO116" i="2"/>
  <c r="AQ116" i="2"/>
  <c r="AQ115" i="2"/>
  <c r="AO115" i="2"/>
  <c r="AQ114" i="2"/>
  <c r="AO114" i="2"/>
  <c r="AQ113" i="2"/>
  <c r="AO113" i="2"/>
  <c r="AO112" i="2"/>
  <c r="AQ112" i="2"/>
  <c r="AQ111" i="2"/>
  <c r="AO111" i="2"/>
  <c r="AQ110" i="2"/>
  <c r="AO110" i="2"/>
  <c r="AQ109" i="2"/>
  <c r="AO109" i="2"/>
  <c r="AQ108" i="2"/>
  <c r="AO108" i="2"/>
  <c r="AQ107" i="2"/>
  <c r="AO107" i="2"/>
  <c r="AQ106" i="2"/>
  <c r="AO106" i="2"/>
  <c r="AQ105" i="2"/>
  <c r="AO105" i="2"/>
  <c r="AQ104" i="2"/>
  <c r="AO104" i="2"/>
  <c r="AQ103" i="2"/>
  <c r="AO103" i="2"/>
  <c r="AQ102" i="2"/>
  <c r="AO102" i="2"/>
  <c r="AQ101" i="2"/>
  <c r="AO101" i="2"/>
  <c r="AO100" i="2"/>
  <c r="AQ100" i="2"/>
  <c r="AQ99" i="2"/>
  <c r="AO99" i="2"/>
  <c r="AQ98" i="2"/>
  <c r="AO98" i="2"/>
  <c r="AQ97" i="2"/>
  <c r="AO97" i="2"/>
  <c r="AO96" i="2"/>
  <c r="AQ96" i="2"/>
  <c r="AQ95" i="2"/>
  <c r="AO95" i="2"/>
  <c r="AQ94" i="2"/>
  <c r="AO94" i="2"/>
  <c r="AQ93" i="2"/>
  <c r="AO93" i="2"/>
  <c r="AO92" i="2"/>
  <c r="AQ92" i="2"/>
  <c r="AQ91" i="2"/>
  <c r="AO91" i="2"/>
  <c r="AQ90" i="2"/>
  <c r="AO90" i="2"/>
  <c r="AQ89" i="2"/>
  <c r="AO89" i="2"/>
  <c r="AO88" i="2"/>
  <c r="AQ88" i="2"/>
  <c r="AQ87" i="2"/>
  <c r="AO87" i="2"/>
  <c r="AQ86" i="2"/>
  <c r="AO86" i="2"/>
  <c r="AQ85" i="2"/>
  <c r="AO85" i="2"/>
  <c r="AO84" i="2"/>
  <c r="AQ84" i="2"/>
  <c r="AQ83" i="2"/>
  <c r="AO83" i="2"/>
  <c r="AQ82" i="2"/>
  <c r="AO82" i="2"/>
  <c r="AQ81" i="2"/>
  <c r="AO81" i="2"/>
  <c r="AO80" i="2"/>
  <c r="AQ80" i="2"/>
  <c r="AQ79" i="2"/>
  <c r="AO79" i="2"/>
  <c r="AQ78" i="2"/>
  <c r="AO78" i="2"/>
  <c r="AQ77" i="2"/>
  <c r="AO77" i="2"/>
  <c r="AO76" i="2"/>
  <c r="AQ76" i="2"/>
  <c r="AQ75" i="2"/>
  <c r="AO75" i="2"/>
  <c r="AQ74" i="2"/>
  <c r="AO74" i="2"/>
  <c r="AQ73" i="2"/>
  <c r="AO73" i="2"/>
  <c r="AO72" i="2"/>
  <c r="AQ72" i="2"/>
  <c r="AQ71" i="2"/>
  <c r="AO71" i="2"/>
  <c r="AQ70" i="2"/>
  <c r="AO70" i="2"/>
  <c r="AQ69" i="2"/>
  <c r="AO69" i="2"/>
  <c r="AO68" i="2"/>
  <c r="AQ68" i="2"/>
  <c r="AQ67" i="2"/>
  <c r="AO67" i="2"/>
  <c r="AQ66" i="2"/>
  <c r="AO66" i="2"/>
  <c r="AQ65" i="2"/>
  <c r="AO65" i="2"/>
  <c r="AO64" i="2"/>
  <c r="AQ64" i="2"/>
  <c r="AQ63" i="2"/>
  <c r="AO63" i="2"/>
  <c r="AQ62" i="2"/>
  <c r="AO62" i="2"/>
  <c r="AQ61" i="2"/>
  <c r="AO61" i="2"/>
  <c r="AO60" i="2"/>
  <c r="AQ60" i="2"/>
  <c r="AQ59" i="2"/>
  <c r="AO59" i="2"/>
  <c r="AQ58" i="2"/>
  <c r="AO58" i="2"/>
  <c r="AQ57" i="2"/>
  <c r="AO57" i="2"/>
  <c r="AO56" i="2"/>
  <c r="AQ56" i="2"/>
  <c r="AQ55" i="2"/>
  <c r="AO55" i="2"/>
  <c r="AQ54" i="2"/>
  <c r="AO54" i="2"/>
  <c r="AQ53" i="2"/>
  <c r="AO53" i="2"/>
  <c r="AO52" i="2"/>
  <c r="AQ52" i="2"/>
  <c r="AQ51" i="2"/>
  <c r="AO51" i="2"/>
  <c r="AQ50" i="2"/>
  <c r="AO50" i="2"/>
  <c r="AQ49" i="2"/>
  <c r="AO49" i="2"/>
  <c r="AO48" i="2"/>
  <c r="AQ48" i="2"/>
  <c r="AQ47" i="2"/>
  <c r="AO47" i="2"/>
  <c r="AQ46" i="2"/>
  <c r="AO46" i="2"/>
  <c r="AQ45" i="2"/>
  <c r="AO45" i="2"/>
  <c r="AO44" i="2"/>
  <c r="AQ44" i="2"/>
  <c r="AQ43" i="2"/>
  <c r="AO43" i="2"/>
  <c r="AQ42" i="2"/>
  <c r="AO42" i="2"/>
  <c r="AQ41" i="2"/>
  <c r="AO41" i="2"/>
  <c r="AO40" i="2"/>
  <c r="AQ40" i="2"/>
  <c r="AQ39" i="2"/>
  <c r="AO39" i="2"/>
  <c r="AQ38" i="2"/>
  <c r="AO38" i="2"/>
  <c r="AQ37" i="2"/>
  <c r="AO37" i="2"/>
  <c r="AO36" i="2"/>
  <c r="AQ36" i="2"/>
  <c r="AQ35" i="2"/>
  <c r="AO35" i="2"/>
  <c r="AQ34" i="2"/>
  <c r="AO34" i="2"/>
  <c r="AQ33" i="2"/>
  <c r="AO33" i="2"/>
  <c r="AO32" i="2"/>
  <c r="AQ32" i="2"/>
  <c r="AQ31" i="2"/>
  <c r="AO31" i="2"/>
  <c r="AQ30" i="2"/>
  <c r="AO30" i="2"/>
  <c r="AQ29" i="2"/>
  <c r="AO29" i="2"/>
  <c r="AO28" i="2"/>
  <c r="AQ28" i="2"/>
  <c r="AQ27" i="2"/>
  <c r="AO27" i="2"/>
  <c r="AQ26" i="2"/>
  <c r="AO26" i="2"/>
  <c r="AQ25" i="2"/>
  <c r="AO25" i="2"/>
  <c r="AO24" i="2"/>
  <c r="AQ24" i="2"/>
  <c r="AQ23" i="2"/>
  <c r="AO23" i="2"/>
  <c r="AQ22" i="2"/>
  <c r="AO22" i="2"/>
  <c r="AQ21" i="2"/>
  <c r="AO21" i="2"/>
  <c r="AO20" i="2"/>
  <c r="AQ20" i="2"/>
  <c r="AQ19" i="2"/>
  <c r="AO19" i="2"/>
  <c r="AQ18" i="2"/>
  <c r="AO18" i="2"/>
  <c r="AQ17" i="2"/>
  <c r="AO17" i="2"/>
  <c r="AO16" i="2"/>
  <c r="AQ16" i="2"/>
  <c r="AQ15" i="2"/>
  <c r="AO15" i="2"/>
  <c r="AQ14" i="2"/>
  <c r="AO14" i="2"/>
  <c r="AQ13" i="2"/>
  <c r="AO13" i="2"/>
  <c r="AO12" i="2"/>
  <c r="AQ12" i="2"/>
  <c r="AQ11" i="2"/>
  <c r="AO11" i="2"/>
  <c r="AQ10" i="2"/>
  <c r="AO10" i="2"/>
  <c r="AQ9" i="2"/>
  <c r="AO9" i="2"/>
  <c r="AO8" i="2"/>
  <c r="AQ8" i="2"/>
  <c r="AQ7" i="2"/>
  <c r="AO7" i="2"/>
  <c r="AQ6" i="2"/>
  <c r="AO6" i="2"/>
  <c r="AQ5" i="2"/>
  <c r="AO5" i="2"/>
  <c r="AO4" i="2"/>
  <c r="N226" i="2"/>
  <c r="AQ4" i="2"/>
  <c r="D9" i="5"/>
  <c r="AC307" i="2"/>
  <c r="AA307" i="2"/>
  <c r="X307" i="2"/>
  <c r="AK16" i="2"/>
  <c r="AL14" i="2"/>
  <c r="AL8" i="2"/>
  <c r="AK7" i="2"/>
  <c r="AK6" i="2"/>
  <c r="AL5" i="2"/>
  <c r="AL29" i="2"/>
  <c r="AL26" i="2"/>
  <c r="AL19" i="2"/>
  <c r="AL18" i="2"/>
  <c r="AL43" i="2"/>
  <c r="AK41" i="2"/>
  <c r="AL40" i="2"/>
  <c r="AK33" i="2"/>
  <c r="AL65" i="2"/>
  <c r="AL59" i="2"/>
  <c r="AK72" i="2"/>
  <c r="AL70" i="2"/>
  <c r="AL69" i="2"/>
  <c r="AL67" i="2"/>
  <c r="AL87" i="2"/>
  <c r="AL86" i="2"/>
  <c r="AL85" i="2"/>
  <c r="AK84" i="2"/>
  <c r="AL83" i="2"/>
  <c r="AL82" i="2"/>
  <c r="AL81" i="2"/>
  <c r="AL80" i="2"/>
  <c r="AL79" i="2"/>
  <c r="AL78" i="2"/>
  <c r="AL77" i="2"/>
  <c r="AL74" i="2"/>
  <c r="AL73" i="2"/>
  <c r="AL96" i="2"/>
  <c r="AL95" i="2"/>
  <c r="AK94" i="2"/>
  <c r="AL93" i="2"/>
  <c r="AL91" i="2"/>
  <c r="AL90" i="2"/>
  <c r="AL89" i="2"/>
  <c r="AK155" i="2"/>
  <c r="AM155" i="2" s="1"/>
  <c r="AL153" i="2"/>
  <c r="AL151" i="2"/>
  <c r="AL150" i="2"/>
  <c r="AL149" i="2"/>
  <c r="AL148" i="2"/>
  <c r="AL147" i="2"/>
  <c r="AL146" i="2"/>
  <c r="AL145" i="2"/>
  <c r="AL144" i="2"/>
  <c r="AK143" i="2"/>
  <c r="AL142" i="2"/>
  <c r="AL141" i="2"/>
  <c r="AL140" i="2"/>
  <c r="AL139" i="2"/>
  <c r="AL138" i="2"/>
  <c r="AL137" i="2"/>
  <c r="AK136" i="2"/>
  <c r="AL135" i="2"/>
  <c r="AL134" i="2"/>
  <c r="AL133" i="2"/>
  <c r="AL130" i="2"/>
  <c r="AL128" i="2"/>
  <c r="AL126" i="2"/>
  <c r="AL125" i="2"/>
  <c r="AL119" i="2"/>
  <c r="AL108" i="2"/>
  <c r="AL109" i="2"/>
  <c r="AL110" i="2"/>
  <c r="AL111" i="2"/>
  <c r="AL112" i="2"/>
  <c r="AL113" i="2"/>
  <c r="AL114" i="2"/>
  <c r="AL115" i="2"/>
  <c r="AK116" i="2"/>
  <c r="Z252" i="2"/>
  <c r="F10" i="5" s="1"/>
  <c r="AE252" i="2"/>
  <c r="K10" i="5" s="1"/>
  <c r="AA252" i="2"/>
  <c r="G10" i="5" s="1"/>
  <c r="AD252" i="2"/>
  <c r="J10" i="5" s="1"/>
  <c r="AA239" i="2"/>
  <c r="G9" i="5" s="1"/>
  <c r="Z236" i="2"/>
  <c r="F8" i="5" s="1"/>
  <c r="AI138" i="2"/>
  <c r="AJ69" i="2"/>
  <c r="AI13" i="2"/>
  <c r="AI72" i="2"/>
  <c r="AI68" i="2"/>
  <c r="AI77" i="2"/>
  <c r="H224" i="2"/>
  <c r="W139" i="2"/>
  <c r="AJ139" i="2" s="1"/>
  <c r="W16" i="2"/>
  <c r="AI16" i="2" s="1"/>
  <c r="AJ48" i="2"/>
  <c r="W55" i="2"/>
  <c r="AJ55" i="2" s="1"/>
  <c r="W150" i="2"/>
  <c r="AJ150" i="2" s="1"/>
  <c r="AJ98" i="2"/>
  <c r="W62" i="2"/>
  <c r="AJ62" i="2" s="1"/>
  <c r="AJ45" i="2"/>
  <c r="AI47" i="2"/>
  <c r="AJ47" i="2"/>
  <c r="AJ113" i="2"/>
  <c r="AI113" i="2"/>
  <c r="AI31" i="2"/>
  <c r="AJ31" i="2"/>
  <c r="AI127" i="2"/>
  <c r="AJ127" i="2"/>
  <c r="AI73" i="2"/>
  <c r="AJ73" i="2"/>
  <c r="W147" i="2"/>
  <c r="W128" i="2"/>
  <c r="AJ128" i="2" s="1"/>
  <c r="W124" i="2"/>
  <c r="AJ124" i="2" s="1"/>
  <c r="W87" i="2"/>
  <c r="W78" i="2"/>
  <c r="AI78" i="2" s="1"/>
  <c r="W74" i="2"/>
  <c r="AJ74" i="2" s="1"/>
  <c r="W42" i="2"/>
  <c r="AI42" i="2" s="1"/>
  <c r="W37" i="2"/>
  <c r="AI37" i="2" s="1"/>
  <c r="W28" i="2"/>
  <c r="AJ28" i="2" s="1"/>
  <c r="W23" i="2"/>
  <c r="AJ23" i="2" s="1"/>
  <c r="W19" i="2"/>
  <c r="AJ19" i="2" s="1"/>
  <c r="W115" i="2"/>
  <c r="AI115" i="2" s="1"/>
  <c r="W111" i="2"/>
  <c r="AJ111" i="2" s="1"/>
  <c r="W103" i="2"/>
  <c r="W57" i="2"/>
  <c r="W49" i="2"/>
  <c r="AI49" i="2" s="1"/>
  <c r="AI86" i="2"/>
  <c r="AC257" i="2"/>
  <c r="I13" i="5" s="1"/>
  <c r="K224" i="2"/>
  <c r="AB262" i="2"/>
  <c r="H14" i="5" s="1"/>
  <c r="AE257" i="2"/>
  <c r="K13" i="5" s="1"/>
  <c r="AD262" i="2"/>
  <c r="J14" i="5" s="1"/>
  <c r="Z257" i="2"/>
  <c r="F13" i="5" s="1"/>
  <c r="AC262" i="2"/>
  <c r="I14" i="5" s="1"/>
  <c r="X257" i="2"/>
  <c r="D13" i="5" s="1"/>
  <c r="AA262" i="2"/>
  <c r="G14" i="5" s="1"/>
  <c r="AB257" i="2"/>
  <c r="H13" i="5" s="1"/>
  <c r="Y257" i="2"/>
  <c r="E13" i="5" s="1"/>
  <c r="Z262" i="2"/>
  <c r="F14" i="5" s="1"/>
  <c r="Y262" i="2"/>
  <c r="E14" i="5" s="1"/>
  <c r="AD257" i="2"/>
  <c r="J13" i="5" s="1"/>
  <c r="AD233" i="2"/>
  <c r="J7" i="5" s="1"/>
  <c r="AA233" i="2"/>
  <c r="G7" i="5" s="1"/>
  <c r="E224" i="2"/>
  <c r="AK44" i="2"/>
  <c r="AL42" i="2"/>
  <c r="AL41" i="2"/>
  <c r="AK40" i="2"/>
  <c r="AM40" i="2" s="1"/>
  <c r="AK39" i="2"/>
  <c r="AL39" i="2"/>
  <c r="AL38" i="2"/>
  <c r="AK38" i="2"/>
  <c r="AK36" i="2"/>
  <c r="AL36" i="2"/>
  <c r="AK35" i="2"/>
  <c r="AL35" i="2"/>
  <c r="AK34" i="2"/>
  <c r="AL34" i="2"/>
  <c r="AL33" i="2"/>
  <c r="AK31" i="2"/>
  <c r="AL31" i="2"/>
  <c r="AK30" i="2"/>
  <c r="AL30" i="2"/>
  <c r="AK29" i="2"/>
  <c r="AM29" i="2" s="1"/>
  <c r="AK26" i="2"/>
  <c r="AM26" i="2" s="1"/>
  <c r="AK21" i="2"/>
  <c r="AM21" i="2" s="1"/>
  <c r="AK20" i="2"/>
  <c r="AL20" i="2"/>
  <c r="AK19" i="2"/>
  <c r="AM19" i="2" s="1"/>
  <c r="AK18" i="2"/>
  <c r="AK17" i="2"/>
  <c r="AL17" i="2"/>
  <c r="AL16" i="2"/>
  <c r="AK14" i="2"/>
  <c r="AK13" i="2"/>
  <c r="AL13" i="2"/>
  <c r="AK10" i="2"/>
  <c r="AL10" i="2"/>
  <c r="AK9" i="2"/>
  <c r="AL9" i="2"/>
  <c r="AL6" i="2"/>
  <c r="AL64" i="2"/>
  <c r="AL61" i="2"/>
  <c r="AL60" i="2"/>
  <c r="AL58" i="2"/>
  <c r="AK58" i="2"/>
  <c r="AL57" i="2"/>
  <c r="AL55" i="2"/>
  <c r="AL54" i="2"/>
  <c r="AL53" i="2"/>
  <c r="AK51" i="2"/>
  <c r="AL51" i="2"/>
  <c r="AL50" i="2"/>
  <c r="AL49" i="2"/>
  <c r="AL47" i="2"/>
  <c r="AL46" i="2"/>
  <c r="AL44" i="2"/>
  <c r="AL99" i="2"/>
  <c r="AK99" i="2"/>
  <c r="AM165" i="2"/>
  <c r="AK154" i="2"/>
  <c r="AL154" i="2"/>
  <c r="AK75" i="2"/>
  <c r="AL75" i="2"/>
  <c r="AK42" i="2"/>
  <c r="AK43" i="2"/>
  <c r="AM43" i="2" s="1"/>
  <c r="AK128" i="2"/>
  <c r="AM128" i="2" s="1"/>
  <c r="AK127" i="2"/>
  <c r="AK126" i="2"/>
  <c r="AM126" i="2" s="1"/>
  <c r="AK125" i="2"/>
  <c r="AK123" i="2"/>
  <c r="AM123" i="2" s="1"/>
  <c r="AK121" i="2"/>
  <c r="AM121" i="2" s="1"/>
  <c r="AK120" i="2"/>
  <c r="AM120" i="2" s="1"/>
  <c r="AK119" i="2"/>
  <c r="AM119" i="2" s="1"/>
  <c r="AK117" i="2"/>
  <c r="AM117" i="2" s="1"/>
  <c r="AL116" i="2"/>
  <c r="AK115" i="2"/>
  <c r="AM115" i="2" s="1"/>
  <c r="AK114" i="2"/>
  <c r="AK113" i="2"/>
  <c r="AM113" i="2" s="1"/>
  <c r="AK112" i="2"/>
  <c r="AM112" i="2" s="1"/>
  <c r="AK111" i="2"/>
  <c r="AM111" i="2" s="1"/>
  <c r="AK110" i="2"/>
  <c r="AK109" i="2"/>
  <c r="AM109" i="2" s="1"/>
  <c r="AK108" i="2"/>
  <c r="AM108" i="2" s="1"/>
  <c r="AK107" i="2"/>
  <c r="AM107" i="2" s="1"/>
  <c r="AK106" i="2"/>
  <c r="AM106" i="2" s="1"/>
  <c r="AL105" i="2"/>
  <c r="AK103" i="2"/>
  <c r="AM103" i="2" s="1"/>
  <c r="AK102" i="2"/>
  <c r="AM102" i="2" s="1"/>
  <c r="AL98" i="2"/>
  <c r="AK96" i="2"/>
  <c r="AM96" i="2" s="1"/>
  <c r="AK95" i="2"/>
  <c r="AM95" i="2" s="1"/>
  <c r="AL94" i="2"/>
  <c r="AK93" i="2"/>
  <c r="AK91" i="2"/>
  <c r="AM91" i="2" s="1"/>
  <c r="AK90" i="2"/>
  <c r="AM90" i="2" s="1"/>
  <c r="AK89" i="2"/>
  <c r="AM89" i="2" s="1"/>
  <c r="AK87" i="2"/>
  <c r="AM87" i="2" s="1"/>
  <c r="AK86" i="2"/>
  <c r="AL84" i="2"/>
  <c r="AK83" i="2"/>
  <c r="AM83" i="2" s="1"/>
  <c r="AK82" i="2"/>
  <c r="AK81" i="2"/>
  <c r="AM81" i="2" s="1"/>
  <c r="AK80" i="2"/>
  <c r="AM80" i="2" s="1"/>
  <c r="AK79" i="2"/>
  <c r="AM79" i="2" s="1"/>
  <c r="AK78" i="2"/>
  <c r="AK77" i="2"/>
  <c r="AM77" i="2" s="1"/>
  <c r="AK74" i="2"/>
  <c r="AM74" i="2" s="1"/>
  <c r="AK73" i="2"/>
  <c r="AM73" i="2" s="1"/>
  <c r="AL72" i="2"/>
  <c r="AK71" i="2"/>
  <c r="AK70" i="2"/>
  <c r="AK69" i="2"/>
  <c r="AM69" i="2" s="1"/>
  <c r="AK67" i="2"/>
  <c r="AM67" i="2" s="1"/>
  <c r="AK66" i="2"/>
  <c r="AM66" i="2" s="1"/>
  <c r="AK65" i="2"/>
  <c r="AM65" i="2" s="1"/>
  <c r="AK64" i="2"/>
  <c r="AK62" i="2"/>
  <c r="AM62" i="2" s="1"/>
  <c r="AK61" i="2"/>
  <c r="AK60" i="2"/>
  <c r="AK59" i="2"/>
  <c r="AM59" i="2" s="1"/>
  <c r="AK57" i="2"/>
  <c r="AK55" i="2"/>
  <c r="AK54" i="2"/>
  <c r="AK53" i="2"/>
  <c r="AK52" i="2"/>
  <c r="AM52" i="2" s="1"/>
  <c r="AK50" i="2"/>
  <c r="AK49" i="2"/>
  <c r="AK47" i="2"/>
  <c r="AK46" i="2"/>
  <c r="AK171" i="2"/>
  <c r="AL170" i="2"/>
  <c r="AK169" i="2"/>
  <c r="AM169" i="2" s="1"/>
  <c r="AK168" i="2"/>
  <c r="AM168" i="2" s="1"/>
  <c r="AK166" i="2"/>
  <c r="AM166" i="2" s="1"/>
  <c r="AK160" i="2"/>
  <c r="AK159" i="2"/>
  <c r="AM159" i="2" s="1"/>
  <c r="AK157" i="2"/>
  <c r="AK153" i="2"/>
  <c r="AM153" i="2" s="1"/>
  <c r="AK152" i="2"/>
  <c r="AM152" i="2" s="1"/>
  <c r="AK151" i="2"/>
  <c r="AM151" i="2" s="1"/>
  <c r="AK150" i="2"/>
  <c r="AM150" i="2" s="1"/>
  <c r="AK149" i="2"/>
  <c r="AK148" i="2"/>
  <c r="AM148" i="2" s="1"/>
  <c r="AK147" i="2"/>
  <c r="AM147" i="2" s="1"/>
  <c r="AK146" i="2"/>
  <c r="AK145" i="2"/>
  <c r="AK144" i="2"/>
  <c r="AM144" i="2" s="1"/>
  <c r="AL143" i="2"/>
  <c r="AK142" i="2"/>
  <c r="AM142" i="2" s="1"/>
  <c r="AK141" i="2"/>
  <c r="AK140" i="2"/>
  <c r="AM140" i="2" s="1"/>
  <c r="AK139" i="2"/>
  <c r="AM139" i="2" s="1"/>
  <c r="AK138" i="2"/>
  <c r="AK137" i="2"/>
  <c r="AL136" i="2"/>
  <c r="AK135" i="2"/>
  <c r="AK134" i="2"/>
  <c r="AM134" i="2" s="1"/>
  <c r="AK133" i="2"/>
  <c r="AJ166" i="2"/>
  <c r="AJ147" i="2"/>
  <c r="AI147" i="2"/>
  <c r="AI128" i="2"/>
  <c r="AJ78" i="2"/>
  <c r="AI65" i="2"/>
  <c r="AJ65" i="2"/>
  <c r="AI170" i="2"/>
  <c r="AI88" i="2"/>
  <c r="AJ88" i="2"/>
  <c r="AJ25" i="2"/>
  <c r="AI25" i="2"/>
  <c r="AJ17" i="2"/>
  <c r="AI17" i="2"/>
  <c r="AJ173" i="2"/>
  <c r="AI173" i="2"/>
  <c r="AB307" i="2"/>
  <c r="AJ102" i="2"/>
  <c r="AI102" i="2"/>
  <c r="AI62" i="2"/>
  <c r="AJ53" i="2"/>
  <c r="AI53" i="2"/>
  <c r="AJ15" i="2"/>
  <c r="AI15" i="2"/>
  <c r="AE304" i="2"/>
  <c r="AE305" i="2"/>
  <c r="AI12" i="2"/>
  <c r="AJ156" i="2"/>
  <c r="AI156" i="2"/>
  <c r="AJ131" i="2"/>
  <c r="AI131" i="2"/>
  <c r="AJ40" i="2"/>
  <c r="AI40" i="2"/>
  <c r="AJ10" i="2"/>
  <c r="AI10" i="2"/>
  <c r="AJ172" i="2"/>
  <c r="AI172" i="2"/>
  <c r="AJ155" i="2"/>
  <c r="AI155" i="2"/>
  <c r="AJ114" i="2"/>
  <c r="AI114" i="2"/>
  <c r="AJ33" i="2"/>
  <c r="AI33" i="2"/>
  <c r="X252" i="2"/>
  <c r="D10" i="5" s="1"/>
  <c r="W39" i="2"/>
  <c r="W46" i="2"/>
  <c r="AJ106" i="2"/>
  <c r="X308" i="2"/>
  <c r="AI97" i="2"/>
  <c r="AI24" i="2"/>
  <c r="AI71" i="2"/>
  <c r="AI66" i="2"/>
  <c r="X262" i="2"/>
  <c r="D14" i="5" s="1"/>
  <c r="AC252" i="2"/>
  <c r="I10" i="5" s="1"/>
  <c r="AE262" i="2"/>
  <c r="K14" i="5" s="1"/>
  <c r="AB233" i="2"/>
  <c r="H7" i="5" s="1"/>
  <c r="Y239" i="2"/>
  <c r="E9" i="5" s="1"/>
  <c r="AI9" i="2"/>
  <c r="W119" i="2"/>
  <c r="W61" i="2"/>
  <c r="AI107" i="2"/>
  <c r="AI75" i="2"/>
  <c r="AI162" i="2"/>
  <c r="AI123" i="2"/>
  <c r="W99" i="2"/>
  <c r="W29" i="2"/>
  <c r="AJ29" i="2" s="1"/>
  <c r="W164" i="2"/>
  <c r="W152" i="2"/>
  <c r="AJ152" i="2" s="1"/>
  <c r="W149" i="2"/>
  <c r="W140" i="2"/>
  <c r="W135" i="2"/>
  <c r="AI135" i="2" s="1"/>
  <c r="W130" i="2"/>
  <c r="W126" i="2"/>
  <c r="AJ109" i="2"/>
  <c r="AI32" i="2"/>
  <c r="AJ134" i="2"/>
  <c r="AJ90" i="2"/>
  <c r="AJ112" i="2"/>
  <c r="J224" i="2"/>
  <c r="AD248" i="2" s="1"/>
  <c r="AH224" i="2"/>
  <c r="AI174" i="2"/>
  <c r="AJ174" i="2"/>
  <c r="AJ93" i="2"/>
  <c r="AI93" i="2"/>
  <c r="AJ85" i="2"/>
  <c r="AI85" i="2"/>
  <c r="AC230" i="2"/>
  <c r="I6" i="5" s="1"/>
  <c r="W5" i="2"/>
  <c r="I224" i="2"/>
  <c r="AD243" i="2" s="1"/>
  <c r="AK4" i="2"/>
  <c r="AL4" i="2"/>
  <c r="AA257" i="2"/>
  <c r="G13" i="5" s="1"/>
  <c r="AE236" i="2"/>
  <c r="K8" i="5" s="1"/>
  <c r="AA230" i="2"/>
  <c r="G6" i="5" s="1"/>
  <c r="AJ80" i="2"/>
  <c r="AL222" i="2"/>
  <c r="AM222" i="2" s="1"/>
  <c r="AK220" i="2"/>
  <c r="AM220" i="2" s="1"/>
  <c r="AK216" i="2"/>
  <c r="AM216" i="2" s="1"/>
  <c r="AC244" i="2"/>
  <c r="AC245" i="2"/>
  <c r="AL190" i="2"/>
  <c r="AK190" i="2"/>
  <c r="AK37" i="2"/>
  <c r="AL37" i="2"/>
  <c r="AK32" i="2"/>
  <c r="AL32" i="2"/>
  <c r="AK28" i="2"/>
  <c r="AL28" i="2"/>
  <c r="AK27" i="2"/>
  <c r="AL27" i="2"/>
  <c r="AK25" i="2"/>
  <c r="AL25" i="2"/>
  <c r="AK24" i="2"/>
  <c r="AL24" i="2"/>
  <c r="AK23" i="2"/>
  <c r="AL23" i="2"/>
  <c r="AK22" i="2"/>
  <c r="AL22" i="2"/>
  <c r="AK15" i="2"/>
  <c r="AL15" i="2"/>
  <c r="AK12" i="2"/>
  <c r="AL12" i="2"/>
  <c r="AK11" i="2"/>
  <c r="AL11" i="2"/>
  <c r="X326" i="2"/>
  <c r="Y326" i="2" s="1"/>
  <c r="Z326" i="2" s="1"/>
  <c r="AA326" i="2" s="1"/>
  <c r="AB326" i="2" s="1"/>
  <c r="AC326" i="2" s="1"/>
  <c r="AD326" i="2" s="1"/>
  <c r="AE326" i="2" s="1"/>
  <c r="X331" i="2"/>
  <c r="Y331" i="2" s="1"/>
  <c r="Z331" i="2" s="1"/>
  <c r="AA331" i="2" s="1"/>
  <c r="AB331" i="2" s="1"/>
  <c r="AC331" i="2" s="1"/>
  <c r="AD331" i="2" s="1"/>
  <c r="AE331" i="2" s="1"/>
  <c r="X333" i="2"/>
  <c r="Y333" i="2" s="1"/>
  <c r="Z333" i="2" s="1"/>
  <c r="AA333" i="2" s="1"/>
  <c r="AB333" i="2" s="1"/>
  <c r="AC333" i="2" s="1"/>
  <c r="AD333" i="2" s="1"/>
  <c r="AE333" i="2" s="1"/>
  <c r="X329" i="2"/>
  <c r="Y329" i="2" s="1"/>
  <c r="Z329" i="2" s="1"/>
  <c r="AA329" i="2" s="1"/>
  <c r="AB329" i="2" s="1"/>
  <c r="AC329" i="2" s="1"/>
  <c r="AD329" i="2" s="1"/>
  <c r="AE329" i="2" s="1"/>
  <c r="X325" i="2"/>
  <c r="X327" i="2"/>
  <c r="Y327" i="2" s="1"/>
  <c r="Z327" i="2" s="1"/>
  <c r="AA327" i="2" s="1"/>
  <c r="AB327" i="2" s="1"/>
  <c r="AC327" i="2" s="1"/>
  <c r="AD327" i="2" s="1"/>
  <c r="AE327" i="2" s="1"/>
  <c r="X332" i="2"/>
  <c r="Y332" i="2" s="1"/>
  <c r="Z332" i="2" s="1"/>
  <c r="AA332" i="2" s="1"/>
  <c r="AB332" i="2" s="1"/>
  <c r="AC332" i="2" s="1"/>
  <c r="AD332" i="2" s="1"/>
  <c r="AE332" i="2" s="1"/>
  <c r="AI144" i="2"/>
  <c r="AI14" i="2"/>
  <c r="AD230" i="2"/>
  <c r="J6" i="5" s="1"/>
  <c r="AI202" i="2"/>
  <c r="AI35" i="2"/>
  <c r="AL7" i="2"/>
  <c r="AI92" i="2"/>
  <c r="AL218" i="2"/>
  <c r="AK217" i="2"/>
  <c r="AM217" i="2" s="1"/>
  <c r="AL214" i="2"/>
  <c r="AM214" i="2" s="1"/>
  <c r="AK208" i="2"/>
  <c r="AM208" i="2" s="1"/>
  <c r="X236" i="2"/>
  <c r="D8" i="5" s="1"/>
  <c r="AJ206" i="2"/>
  <c r="AJ52" i="2"/>
  <c r="AI70" i="2"/>
  <c r="AI213" i="2"/>
  <c r="AI79" i="2"/>
  <c r="AI120" i="2"/>
  <c r="AK5" i="2"/>
  <c r="AK209" i="2"/>
  <c r="AM209" i="2" s="1"/>
  <c r="AK207" i="2"/>
  <c r="AM207" i="2" s="1"/>
  <c r="AL206" i="2"/>
  <c r="AM206" i="2" s="1"/>
  <c r="AK204" i="2"/>
  <c r="AM204" i="2" s="1"/>
  <c r="AK200" i="2"/>
  <c r="AM200" i="2" s="1"/>
  <c r="AK195" i="2"/>
  <c r="AM195" i="2" s="1"/>
  <c r="AA308" i="2"/>
  <c r="AI143" i="2"/>
  <c r="AI74" i="2"/>
  <c r="AJ221" i="2"/>
  <c r="AI194" i="2"/>
  <c r="AK198" i="2"/>
  <c r="AL198" i="2"/>
  <c r="AK129" i="2"/>
  <c r="AL129" i="2"/>
  <c r="AK124" i="2"/>
  <c r="AL124" i="2"/>
  <c r="AK122" i="2"/>
  <c r="AL122" i="2"/>
  <c r="AK118" i="2"/>
  <c r="AL118" i="2"/>
  <c r="AK104" i="2"/>
  <c r="AL104" i="2"/>
  <c r="AK101" i="2"/>
  <c r="AL101" i="2"/>
  <c r="AL100" i="2"/>
  <c r="AK100" i="2"/>
  <c r="AK97" i="2"/>
  <c r="AL97" i="2"/>
  <c r="AL92" i="2"/>
  <c r="AK92" i="2"/>
  <c r="AK88" i="2"/>
  <c r="AL88" i="2"/>
  <c r="AL76" i="2"/>
  <c r="AK76" i="2"/>
  <c r="AK68" i="2"/>
  <c r="AL68" i="2"/>
  <c r="AK63" i="2"/>
  <c r="AL63" i="2"/>
  <c r="AK56" i="2"/>
  <c r="AL56" i="2"/>
  <c r="AK48" i="2"/>
  <c r="AL48" i="2"/>
  <c r="AK45" i="2"/>
  <c r="AL45" i="2"/>
  <c r="AA236" i="2"/>
  <c r="G8" i="5" s="1"/>
  <c r="AI148" i="2"/>
  <c r="AI137" i="2"/>
  <c r="AL211" i="2"/>
  <c r="W157" i="2"/>
  <c r="AK184" i="2"/>
  <c r="AL184" i="2"/>
  <c r="AL182" i="2"/>
  <c r="AK182" i="2"/>
  <c r="AK178" i="2"/>
  <c r="AL178" i="2"/>
  <c r="AL174" i="2"/>
  <c r="AK174" i="2"/>
  <c r="AK173" i="2"/>
  <c r="AL173" i="2"/>
  <c r="AK172" i="2"/>
  <c r="AL172" i="2"/>
  <c r="AK167" i="2"/>
  <c r="AL167" i="2"/>
  <c r="AK164" i="2"/>
  <c r="AL164" i="2"/>
  <c r="AK163" i="2"/>
  <c r="AL163" i="2"/>
  <c r="AK162" i="2"/>
  <c r="AL162" i="2"/>
  <c r="AL161" i="2"/>
  <c r="AK161" i="2"/>
  <c r="AK158" i="2"/>
  <c r="AL158" i="2"/>
  <c r="AL156" i="2"/>
  <c r="AK156" i="2"/>
  <c r="AK132" i="2"/>
  <c r="AL132" i="2"/>
  <c r="AK131" i="2"/>
  <c r="AL131" i="2"/>
  <c r="Y236" i="2"/>
  <c r="E8" i="5" s="1"/>
  <c r="AE233" i="2"/>
  <c r="K7" i="5" s="1"/>
  <c r="AB236" i="2"/>
  <c r="H8" i="5" s="1"/>
  <c r="AI104" i="2"/>
  <c r="AI163" i="2"/>
  <c r="AL127" i="2"/>
  <c r="AK8" i="2"/>
  <c r="AM8" i="2" s="1"/>
  <c r="W188" i="2"/>
  <c r="L224" i="2"/>
  <c r="Y248" i="2"/>
  <c r="E4" i="5"/>
  <c r="Y244" i="2"/>
  <c r="AK193" i="2"/>
  <c r="AM193" i="2" s="1"/>
  <c r="AK130" i="2"/>
  <c r="AM130" i="2" s="1"/>
  <c r="X328" i="2"/>
  <c r="Y328" i="2" s="1"/>
  <c r="Z328" i="2" s="1"/>
  <c r="AA328" i="2" s="1"/>
  <c r="AB328" i="2" s="1"/>
  <c r="AC328" i="2" s="1"/>
  <c r="AD328" i="2" s="1"/>
  <c r="AE328" i="2" s="1"/>
  <c r="AF3" i="2"/>
  <c r="X330" i="2"/>
  <c r="Y330" i="2" s="1"/>
  <c r="Z330" i="2" s="1"/>
  <c r="AA330" i="2" s="1"/>
  <c r="AB330" i="2" s="1"/>
  <c r="AC330" i="2" s="1"/>
  <c r="AD330" i="2" s="1"/>
  <c r="AE330" i="2" s="1"/>
  <c r="AM85" i="2" l="1"/>
  <c r="AM187" i="2"/>
  <c r="AM41" i="2"/>
  <c r="AM135" i="2"/>
  <c r="AM213" i="2"/>
  <c r="AI8" i="2"/>
  <c r="AM171" i="2"/>
  <c r="AJ220" i="2"/>
  <c r="AI220" i="2"/>
  <c r="AI29" i="2"/>
  <c r="AI154" i="2"/>
  <c r="AM157" i="2"/>
  <c r="AM194" i="2"/>
  <c r="AM185" i="2"/>
  <c r="AI210" i="2"/>
  <c r="AI19" i="2"/>
  <c r="AM71" i="2"/>
  <c r="AM105" i="2"/>
  <c r="AM183" i="2"/>
  <c r="Z307" i="2"/>
  <c r="Z308" i="2"/>
  <c r="AM170" i="2"/>
  <c r="AI204" i="2"/>
  <c r="AM146" i="2"/>
  <c r="AM211" i="2"/>
  <c r="AM218" i="2"/>
  <c r="AM210" i="2"/>
  <c r="AM199" i="2"/>
  <c r="AM98" i="2"/>
  <c r="AM189" i="2"/>
  <c r="AI110" i="2"/>
  <c r="AI124" i="2"/>
  <c r="AM160" i="2"/>
  <c r="AM70" i="2"/>
  <c r="AJ191" i="2"/>
  <c r="AI191" i="2"/>
  <c r="AM196" i="2"/>
  <c r="AJ42" i="2"/>
  <c r="AM141" i="2"/>
  <c r="AM149" i="2"/>
  <c r="AJ44" i="2"/>
  <c r="AI44" i="2"/>
  <c r="AI51" i="2"/>
  <c r="AJ51" i="2"/>
  <c r="AM223" i="2"/>
  <c r="AJ60" i="2"/>
  <c r="AI60" i="2"/>
  <c r="AI139" i="2"/>
  <c r="AM137" i="2"/>
  <c r="AM145" i="2"/>
  <c r="AM86" i="2"/>
  <c r="AM5" i="2"/>
  <c r="D225" i="2"/>
  <c r="AM78" i="2"/>
  <c r="AM82" i="2"/>
  <c r="AM93" i="2"/>
  <c r="AM110" i="2"/>
  <c r="AM114" i="2"/>
  <c r="AM125" i="2"/>
  <c r="AM14" i="2"/>
  <c r="AM18" i="2"/>
  <c r="AJ158" i="2"/>
  <c r="AI158" i="2"/>
  <c r="AI185" i="2"/>
  <c r="AJ185" i="2"/>
  <c r="AJ43" i="2"/>
  <c r="AI43" i="2"/>
  <c r="AM202" i="2"/>
  <c r="AM7" i="2"/>
  <c r="AM72" i="2"/>
  <c r="AM94" i="2"/>
  <c r="AM16" i="2"/>
  <c r="AM143" i="2"/>
  <c r="AM136" i="2"/>
  <c r="AM116" i="2"/>
  <c r="AM84" i="2"/>
  <c r="AM33" i="2"/>
  <c r="AM30" i="2"/>
  <c r="AM178" i="2"/>
  <c r="AM162" i="2"/>
  <c r="AM47" i="2"/>
  <c r="AM138" i="2"/>
  <c r="AM133" i="2"/>
  <c r="AM127" i="2"/>
  <c r="AM99" i="2"/>
  <c r="AM10" i="2"/>
  <c r="AM4" i="2"/>
  <c r="AM6" i="2"/>
  <c r="AM9" i="2"/>
  <c r="AM17" i="2"/>
  <c r="AM28" i="2"/>
  <c r="AM31" i="2"/>
  <c r="AM20" i="2"/>
  <c r="AM36" i="2"/>
  <c r="AM32" i="2"/>
  <c r="AM44" i="2"/>
  <c r="AM46" i="2"/>
  <c r="AM35" i="2"/>
  <c r="AM51" i="2"/>
  <c r="AM55" i="2"/>
  <c r="AM57" i="2"/>
  <c r="AM63" i="2"/>
  <c r="AM104" i="2"/>
  <c r="AM154" i="2"/>
  <c r="AM131" i="2"/>
  <c r="AJ115" i="2"/>
  <c r="AI23" i="2"/>
  <c r="AI55" i="2"/>
  <c r="AJ16" i="2"/>
  <c r="AJ37" i="2"/>
  <c r="AJ49" i="2"/>
  <c r="AI111" i="2"/>
  <c r="AI150" i="2"/>
  <c r="AI57" i="2"/>
  <c r="AJ57" i="2"/>
  <c r="AJ135" i="2"/>
  <c r="AJ103" i="2"/>
  <c r="AI103" i="2"/>
  <c r="AI28" i="2"/>
  <c r="AI152" i="2"/>
  <c r="AJ87" i="2"/>
  <c r="AI87" i="2"/>
  <c r="H225" i="2"/>
  <c r="AA228" i="2"/>
  <c r="AA290" i="2" s="1"/>
  <c r="E225" i="2"/>
  <c r="AM163" i="2"/>
  <c r="AM45" i="2"/>
  <c r="AM68" i="2"/>
  <c r="AM97" i="2"/>
  <c r="AM54" i="2"/>
  <c r="AM34" i="2"/>
  <c r="AM39" i="2"/>
  <c r="AM22" i="2"/>
  <c r="AM27" i="2"/>
  <c r="AM75" i="2"/>
  <c r="AM76" i="2"/>
  <c r="AM100" i="2"/>
  <c r="AM122" i="2"/>
  <c r="AM11" i="2"/>
  <c r="AM23" i="2"/>
  <c r="AM49" i="2"/>
  <c r="AM50" i="2"/>
  <c r="AM58" i="2"/>
  <c r="AM42" i="2"/>
  <c r="AM132" i="2"/>
  <c r="AM161" i="2"/>
  <c r="AM124" i="2"/>
  <c r="AM12" i="2"/>
  <c r="AM24" i="2"/>
  <c r="AM60" i="2"/>
  <c r="AM61" i="2"/>
  <c r="AM13" i="2"/>
  <c r="AM172" i="2"/>
  <c r="AM53" i="2"/>
  <c r="AM64" i="2"/>
  <c r="AM38" i="2"/>
  <c r="AI130" i="2"/>
  <c r="AJ130" i="2"/>
  <c r="AJ140" i="2"/>
  <c r="AI140" i="2"/>
  <c r="AJ46" i="2"/>
  <c r="AI46" i="2"/>
  <c r="J225" i="2"/>
  <c r="AI149" i="2"/>
  <c r="AJ149" i="2"/>
  <c r="AJ39" i="2"/>
  <c r="AI39" i="2"/>
  <c r="J227" i="2"/>
  <c r="AJ61" i="2"/>
  <c r="AI61" i="2"/>
  <c r="AE248" i="2"/>
  <c r="AJ164" i="2"/>
  <c r="AI164" i="2"/>
  <c r="AJ119" i="2"/>
  <c r="AI119" i="2"/>
  <c r="AJ126" i="2"/>
  <c r="AI126" i="2"/>
  <c r="AJ99" i="2"/>
  <c r="AI99" i="2"/>
  <c r="AA289" i="2"/>
  <c r="L226" i="2"/>
  <c r="AE263" i="2"/>
  <c r="AA263" i="2"/>
  <c r="AD263" i="2"/>
  <c r="AC263" i="2"/>
  <c r="X263" i="2"/>
  <c r="AB263" i="2"/>
  <c r="Y263" i="2"/>
  <c r="Z263" i="2"/>
  <c r="AM158" i="2"/>
  <c r="AM164" i="2"/>
  <c r="AM48" i="2"/>
  <c r="AB247" i="2"/>
  <c r="H12" i="5" s="1"/>
  <c r="X247" i="2"/>
  <c r="D12" i="5" s="1"/>
  <c r="AD247" i="2"/>
  <c r="AJ5" i="2"/>
  <c r="AI5" i="2"/>
  <c r="AA247" i="2"/>
  <c r="G12" i="5" s="1"/>
  <c r="AB242" i="2"/>
  <c r="H11" i="5" s="1"/>
  <c r="AE247" i="2"/>
  <c r="K12" i="5" s="1"/>
  <c r="AE242" i="2"/>
  <c r="K11" i="5" s="1"/>
  <c r="Y242" i="2"/>
  <c r="E11" i="5" s="1"/>
  <c r="X242" i="2"/>
  <c r="D11" i="5" s="1"/>
  <c r="Z247" i="2"/>
  <c r="F12" i="5" s="1"/>
  <c r="AC247" i="2"/>
  <c r="I12" i="5" s="1"/>
  <c r="Z242" i="2"/>
  <c r="F11" i="5" s="1"/>
  <c r="AC242" i="2"/>
  <c r="I11" i="5" s="1"/>
  <c r="AD242" i="2"/>
  <c r="J11" i="5" s="1"/>
  <c r="Y247" i="2"/>
  <c r="E12" i="5" s="1"/>
  <c r="AA242" i="2"/>
  <c r="G11" i="5" s="1"/>
  <c r="AA240" i="2"/>
  <c r="Z253" i="2"/>
  <c r="AB258" i="2"/>
  <c r="X237" i="2"/>
  <c r="K226" i="2"/>
  <c r="Z231" i="2"/>
  <c r="AC240" i="2"/>
  <c r="AE231" i="2"/>
  <c r="Z258" i="2"/>
  <c r="X240" i="2"/>
  <c r="Y234" i="2"/>
  <c r="AB234" i="2"/>
  <c r="AC253" i="2"/>
  <c r="AB240" i="2"/>
  <c r="AD258" i="2"/>
  <c r="AE237" i="2"/>
  <c r="AC258" i="2"/>
  <c r="G226" i="2"/>
  <c r="AD253" i="2"/>
  <c r="AD234" i="2"/>
  <c r="F226" i="2"/>
  <c r="AE258" i="2"/>
  <c r="Y237" i="2"/>
  <c r="AC228" i="2"/>
  <c r="X228" i="2"/>
  <c r="AA237" i="2"/>
  <c r="AA258" i="2"/>
  <c r="Z234" i="2"/>
  <c r="AE240" i="2"/>
  <c r="X234" i="2"/>
  <c r="AA234" i="2"/>
  <c r="AD237" i="2"/>
  <c r="AC231" i="2"/>
  <c r="AC234" i="2"/>
  <c r="AD240" i="2"/>
  <c r="AB231" i="2"/>
  <c r="AB228" i="2"/>
  <c r="Y231" i="2"/>
  <c r="Y240" i="2"/>
  <c r="AC237" i="2"/>
  <c r="Y258" i="2"/>
  <c r="Z240" i="2"/>
  <c r="AA253" i="2"/>
  <c r="AD228" i="2"/>
  <c r="AB253" i="2"/>
  <c r="Z237" i="2"/>
  <c r="Y253" i="2"/>
  <c r="AE234" i="2"/>
  <c r="AE253" i="2"/>
  <c r="AJ188" i="2"/>
  <c r="AI188" i="2"/>
  <c r="AJ157" i="2"/>
  <c r="AI157" i="2"/>
  <c r="AB237" i="2"/>
  <c r="AM167" i="2"/>
  <c r="AM174" i="2"/>
  <c r="AM56" i="2"/>
  <c r="AM88" i="2"/>
  <c r="AM101" i="2"/>
  <c r="AA231" i="2"/>
  <c r="AM190" i="2"/>
  <c r="X253" i="2"/>
  <c r="X231" i="2"/>
  <c r="AD231" i="2"/>
  <c r="X258" i="2"/>
  <c r="AM92" i="2"/>
  <c r="AM129" i="2"/>
  <c r="AE228" i="2"/>
  <c r="AM182" i="2"/>
  <c r="Y325" i="2"/>
  <c r="Z325" i="2" s="1"/>
  <c r="AA325" i="2" s="1"/>
  <c r="AB325" i="2" s="1"/>
  <c r="AC325" i="2" s="1"/>
  <c r="AD325" i="2" s="1"/>
  <c r="AE325" i="2" s="1"/>
  <c r="W322" i="2"/>
  <c r="AK224" i="2"/>
  <c r="Z228" i="2"/>
  <c r="Y308" i="2"/>
  <c r="Y307" i="2"/>
  <c r="AM156" i="2"/>
  <c r="AM173" i="2"/>
  <c r="AM184" i="2"/>
  <c r="AM118" i="2"/>
  <c r="AM198" i="2"/>
  <c r="AM15" i="2"/>
  <c r="AM25" i="2"/>
  <c r="AM37" i="2"/>
  <c r="Z243" i="2"/>
  <c r="AA243" i="2"/>
  <c r="I227" i="2"/>
  <c r="X243" i="2"/>
  <c r="Y243" i="2"/>
  <c r="I225" i="2"/>
  <c r="AC243" i="2"/>
  <c r="AB243" i="2"/>
  <c r="Y228" i="2"/>
  <c r="AD305" i="2" l="1"/>
  <c r="AD304" i="2"/>
  <c r="AE308" i="2"/>
  <c r="AE307" i="2"/>
  <c r="AM224" i="2"/>
  <c r="X316" i="2"/>
  <c r="X317" i="2"/>
  <c r="AC316" i="2"/>
  <c r="AC317" i="2"/>
  <c r="AE298" i="2"/>
  <c r="AE299" i="2"/>
  <c r="Y301" i="2"/>
  <c r="Y302" i="2"/>
  <c r="AB305" i="2"/>
  <c r="AB304" i="2"/>
  <c r="X311" i="2"/>
  <c r="X310" i="2"/>
  <c r="AB299" i="2"/>
  <c r="AB298" i="2"/>
  <c r="Z298" i="2"/>
  <c r="Z299" i="2"/>
  <c r="Y293" i="2"/>
  <c r="Y292" i="2"/>
  <c r="X295" i="2"/>
  <c r="X296" i="2"/>
  <c r="AE313" i="2"/>
  <c r="AE314" i="2"/>
  <c r="AB302" i="2"/>
  <c r="AB301" i="2"/>
  <c r="Z292" i="2"/>
  <c r="Z293" i="2"/>
  <c r="AD317" i="2"/>
  <c r="AD316" i="2"/>
  <c r="AD292" i="2"/>
  <c r="AD293" i="2"/>
  <c r="AC290" i="2"/>
  <c r="AC289" i="2"/>
  <c r="Y310" i="2"/>
  <c r="Y311" i="2"/>
  <c r="AD313" i="2"/>
  <c r="AD314" i="2"/>
  <c r="AB311" i="2"/>
  <c r="AB310" i="2"/>
  <c r="AB290" i="2"/>
  <c r="AB289" i="2"/>
  <c r="AE302" i="2"/>
  <c r="AE301" i="2"/>
  <c r="AC311" i="2"/>
  <c r="AC310" i="2"/>
  <c r="AA316" i="2"/>
  <c r="AA317" i="2"/>
  <c r="AE296" i="2"/>
  <c r="AE295" i="2"/>
  <c r="AD299" i="2"/>
  <c r="AD298" i="2"/>
  <c r="AE290" i="2"/>
  <c r="AE289" i="2"/>
  <c r="AC302" i="2"/>
  <c r="AC301" i="2"/>
  <c r="AC304" i="2"/>
  <c r="AC305" i="2"/>
  <c r="Z290" i="2"/>
  <c r="Z289" i="2"/>
  <c r="AA292" i="2"/>
  <c r="AA293" i="2"/>
  <c r="AD289" i="2"/>
  <c r="AD290" i="2"/>
  <c r="AB293" i="2"/>
  <c r="AB292" i="2"/>
  <c r="Z295" i="2"/>
  <c r="Z296" i="2"/>
  <c r="AD296" i="2"/>
  <c r="AD295" i="2"/>
  <c r="AB296" i="2"/>
  <c r="AB295" i="2"/>
  <c r="X298" i="2"/>
  <c r="X299" i="2"/>
  <c r="AE317" i="2"/>
  <c r="AE316" i="2"/>
  <c r="AA304" i="2"/>
  <c r="AA305" i="2"/>
  <c r="Z305" i="2"/>
  <c r="Z304" i="2"/>
  <c r="X292" i="2"/>
  <c r="X293" i="2"/>
  <c r="AA296" i="2"/>
  <c r="AA295" i="2"/>
  <c r="Y305" i="2"/>
  <c r="Y304" i="2"/>
  <c r="AA311" i="2"/>
  <c r="AA310" i="2"/>
  <c r="AD302" i="2"/>
  <c r="AD301" i="2"/>
  <c r="AA313" i="2"/>
  <c r="AA314" i="2"/>
  <c r="AD310" i="2"/>
  <c r="AD311" i="2"/>
  <c r="Y295" i="2"/>
  <c r="Y296" i="2"/>
  <c r="AB313" i="2"/>
  <c r="AB314" i="2"/>
  <c r="Z316" i="2"/>
  <c r="Z317" i="2"/>
  <c r="Z301" i="2"/>
  <c r="Z302" i="2"/>
  <c r="AC295" i="2"/>
  <c r="AC296" i="2"/>
  <c r="AA299" i="2"/>
  <c r="AA298" i="2"/>
  <c r="X301" i="2"/>
  <c r="X302" i="2"/>
  <c r="Z311" i="2"/>
  <c r="Z310" i="2"/>
  <c r="Y316" i="2"/>
  <c r="Y317" i="2"/>
  <c r="AC299" i="2"/>
  <c r="AC298" i="2"/>
  <c r="AE293" i="2"/>
  <c r="AE292" i="2"/>
  <c r="Y290" i="2"/>
  <c r="Y289" i="2"/>
  <c r="Y299" i="2"/>
  <c r="Y298" i="2"/>
  <c r="X304" i="2"/>
  <c r="X305" i="2"/>
  <c r="X313" i="2"/>
  <c r="X314" i="2"/>
  <c r="AE310" i="2"/>
  <c r="AE311" i="2"/>
  <c r="Y314" i="2"/>
  <c r="Y313" i="2"/>
  <c r="AC292" i="2"/>
  <c r="AC293" i="2"/>
  <c r="X290" i="2"/>
  <c r="X289" i="2"/>
  <c r="AC314" i="2"/>
  <c r="AC313" i="2"/>
  <c r="Z314" i="2"/>
  <c r="Z313" i="2"/>
  <c r="AA302" i="2"/>
  <c r="AA301" i="2"/>
  <c r="J12" i="5"/>
  <c r="AD308" i="2"/>
  <c r="AD307" i="2"/>
  <c r="AB317" i="2"/>
  <c r="AB316" i="2"/>
</calcChain>
</file>

<file path=xl/sharedStrings.xml><?xml version="1.0" encoding="utf-8"?>
<sst xmlns="http://schemas.openxmlformats.org/spreadsheetml/2006/main" count="655" uniqueCount="549">
  <si>
    <t>Student</t>
  </si>
  <si>
    <t>IEP</t>
  </si>
  <si>
    <t>GIEP</t>
  </si>
  <si>
    <t>Principal Preference (1 to 4, -100 = Never, 100 = Required)</t>
  </si>
  <si>
    <t>Teachers:</t>
  </si>
  <si>
    <t>Type:</t>
  </si>
  <si>
    <t>FN</t>
  </si>
  <si>
    <t>LN</t>
  </si>
  <si>
    <t>Characteristics</t>
  </si>
  <si>
    <r>
      <t xml:space="preserve">Gender 
</t>
    </r>
    <r>
      <rPr>
        <b/>
        <sz val="6"/>
        <color theme="1"/>
        <rFont val="Calibri"/>
        <family val="2"/>
        <scheme val="minor"/>
      </rPr>
      <t>(1 = Male)</t>
    </r>
  </si>
  <si>
    <t>Total Students In Class</t>
  </si>
  <si>
    <t>Student Assignment</t>
  </si>
  <si>
    <t>Principal Preference for Assignment</t>
  </si>
  <si>
    <t>Class Total - DISC</t>
  </si>
  <si>
    <t>Class Total - MALES</t>
  </si>
  <si>
    <t>Total</t>
  </si>
  <si>
    <t>Target - Size</t>
  </si>
  <si>
    <t>Target - MALES</t>
  </si>
  <si>
    <t>Target - DISC</t>
  </si>
  <si>
    <t>Student Type</t>
  </si>
  <si>
    <t>Total Classes Assigned
 to Student</t>
  </si>
  <si>
    <t>Total IEP/GEIP Classes Assigned
 to Student</t>
  </si>
  <si>
    <t>IEP/GEIP
Classes
Req</t>
  </si>
  <si>
    <t>Classes 
Req</t>
  </si>
  <si>
    <t>Total 
Classes</t>
  </si>
  <si>
    <t>Min Size</t>
  </si>
  <si>
    <t>Max Size</t>
  </si>
  <si>
    <t>Min Male</t>
  </si>
  <si>
    <t>Max Male</t>
  </si>
  <si>
    <t>Min DISC</t>
  </si>
  <si>
    <t>Max DSC</t>
  </si>
  <si>
    <t>IEP Total</t>
  </si>
  <si>
    <t>GIEP Total</t>
  </si>
  <si>
    <t>Unique 
Student Number</t>
  </si>
  <si>
    <t>VAM 
Prediction</t>
  </si>
  <si>
    <t>Proficiency Likelihood</t>
  </si>
  <si>
    <t>Student Characteristics</t>
  </si>
  <si>
    <r>
      <t xml:space="preserve">Discipline Support
</t>
    </r>
    <r>
      <rPr>
        <b/>
        <sz val="6"/>
        <color theme="1"/>
        <rFont val="Calibri"/>
        <family val="2"/>
        <scheme val="minor"/>
      </rPr>
      <t>(1 = High,...,4 = Low)</t>
    </r>
  </si>
  <si>
    <r>
      <t xml:space="preserve">Educational Support
</t>
    </r>
    <r>
      <rPr>
        <b/>
        <sz val="6"/>
        <color theme="1"/>
        <rFont val="Calibri"/>
        <family val="2"/>
        <scheme val="minor"/>
      </rPr>
      <t>(1=High,...,4 = Low)</t>
    </r>
  </si>
  <si>
    <r>
      <t xml:space="preserve">Minority
</t>
    </r>
    <r>
      <rPr>
        <b/>
        <sz val="6"/>
        <color theme="1"/>
        <rFont val="Calibri"/>
        <family val="2"/>
        <scheme val="minor"/>
      </rPr>
      <t>(1 = yes)</t>
    </r>
  </si>
  <si>
    <t>Problem</t>
  </si>
  <si>
    <t>Name</t>
  </si>
  <si>
    <t>Min GIEP</t>
  </si>
  <si>
    <t>Max GIEP</t>
  </si>
  <si>
    <t>Min IEP</t>
  </si>
  <si>
    <t>Max IEP</t>
  </si>
  <si>
    <t>Target - IEP</t>
  </si>
  <si>
    <t>Target - GIEP</t>
  </si>
  <si>
    <t>Class Total - Acad Abil</t>
  </si>
  <si>
    <t>Target - Acad Abil</t>
  </si>
  <si>
    <t>Min Acad Abil</t>
  </si>
  <si>
    <t>Max Acad Abil</t>
  </si>
  <si>
    <t>Avg Academic Ability</t>
  </si>
  <si>
    <t>Avg Discipline Issues</t>
  </si>
  <si>
    <t>Problem Students</t>
  </si>
  <si>
    <t>Min Prob Students</t>
  </si>
  <si>
    <t>Max Prob Students</t>
  </si>
  <si>
    <t>Target</t>
  </si>
  <si>
    <t>Min Prob</t>
  </si>
  <si>
    <t>Max Prob</t>
  </si>
  <si>
    <t>Max Principal Preference</t>
  </si>
  <si>
    <t>Diff?</t>
  </si>
  <si>
    <t>BASE VALUES</t>
  </si>
  <si>
    <t>ON?</t>
  </si>
  <si>
    <t>VAM Predicted</t>
  </si>
  <si>
    <t>Min VAM</t>
  </si>
  <si>
    <t>Max VAM</t>
  </si>
  <si>
    <t>Min Profic Like</t>
  </si>
  <si>
    <t>Max Profic Like</t>
  </si>
  <si>
    <t>Min Prof Like</t>
  </si>
  <si>
    <t>Max Prof Like</t>
  </si>
  <si>
    <t>Class Total - MINORITY</t>
  </si>
  <si>
    <t>Target - MINORITY</t>
  </si>
  <si>
    <t>Min Minority</t>
  </si>
  <si>
    <t>Max Minority</t>
  </si>
  <si>
    <t>Males</t>
  </si>
  <si>
    <t>Class Size</t>
  </si>
  <si>
    <t>IEP Students</t>
  </si>
  <si>
    <t>GIEP Students</t>
  </si>
  <si>
    <t>Avg VAM Predicted</t>
  </si>
  <si>
    <t>Avg Proficiency Likelihood</t>
  </si>
  <si>
    <t>Num Stud</t>
  </si>
  <si>
    <t>Target Class Sum</t>
  </si>
  <si>
    <t>IEP Class Target</t>
  </si>
  <si>
    <t>Error Term (delta)</t>
  </si>
  <si>
    <t>Target Class Proportion (rho)</t>
  </si>
  <si>
    <t>Scaled Values</t>
  </si>
  <si>
    <t>Pos Relative Dev</t>
  </si>
  <si>
    <t>Neg Relative Dev</t>
  </si>
  <si>
    <t>Minority</t>
  </si>
  <si>
    <t>Acad Abil</t>
  </si>
  <si>
    <t>Disc</t>
  </si>
  <si>
    <t>Prob Stdnts</t>
  </si>
  <si>
    <t>VAM Pred</t>
  </si>
  <si>
    <t>Profic Like</t>
  </si>
  <si>
    <t>Total Principal Demands</t>
  </si>
  <si>
    <t>Yellow are dummy variables for the absolute deviations from the targets</t>
  </si>
  <si>
    <t>Objective is the Sum of Variables</t>
  </si>
  <si>
    <t>Principal Preference (-1 = Never, 1 = Required)</t>
  </si>
  <si>
    <t>Underrepresented</t>
  </si>
  <si>
    <t>Boys</t>
  </si>
  <si>
    <t>Difficult Students</t>
  </si>
  <si>
    <t>Prof Like</t>
  </si>
  <si>
    <t>INCLUDE?</t>
  </si>
  <si>
    <t>Disruptive History
(1 = yes)</t>
  </si>
  <si>
    <t>IEP
(1 = yes)</t>
  </si>
  <si>
    <t>GIEP
(1 = yes)</t>
  </si>
  <si>
    <t>Underrep
(1 = yes)</t>
  </si>
  <si>
    <t>Weight</t>
  </si>
  <si>
    <t>User Weight</t>
  </si>
  <si>
    <t>Metric 
Weight</t>
  </si>
  <si>
    <t>IncludeMetric?</t>
  </si>
  <si>
    <t>NASDEO</t>
  </si>
  <si>
    <t>COLLIN</t>
  </si>
  <si>
    <t>HINSHAW</t>
  </si>
  <si>
    <t>PETROVA</t>
  </si>
  <si>
    <t>CIABATTARI</t>
  </si>
  <si>
    <t>WILLIAM</t>
  </si>
  <si>
    <t>MCGEHEAN</t>
  </si>
  <si>
    <t>FIONA</t>
  </si>
  <si>
    <t>BUIE</t>
  </si>
  <si>
    <t>TAALI</t>
  </si>
  <si>
    <t>CHILSON</t>
  </si>
  <si>
    <t>ETHAN</t>
  </si>
  <si>
    <t>DIAKITE</t>
  </si>
  <si>
    <t>KYE</t>
  </si>
  <si>
    <t>MCNAUGHTON</t>
  </si>
  <si>
    <t>KARLEE</t>
  </si>
  <si>
    <t>CALLE</t>
  </si>
  <si>
    <t>LEONARDO</t>
  </si>
  <si>
    <t>SPIVEY</t>
  </si>
  <si>
    <t>STEVEN</t>
  </si>
  <si>
    <t>ZDUN</t>
  </si>
  <si>
    <t>CONNOR</t>
  </si>
  <si>
    <t>RINKER</t>
  </si>
  <si>
    <t>MADELYNN</t>
  </si>
  <si>
    <t>BIDDLE</t>
  </si>
  <si>
    <t>ALEXANDER</t>
  </si>
  <si>
    <t>RICHARDS</t>
  </si>
  <si>
    <t>DYLANA</t>
  </si>
  <si>
    <t>SCARFO</t>
  </si>
  <si>
    <t>DOMINIC</t>
  </si>
  <si>
    <t>FOX</t>
  </si>
  <si>
    <t>PARKER</t>
  </si>
  <si>
    <t>JUDGE</t>
  </si>
  <si>
    <t>WYATT</t>
  </si>
  <si>
    <t>ROGERS</t>
  </si>
  <si>
    <t>CASHLIN</t>
  </si>
  <si>
    <t>HELLER</t>
  </si>
  <si>
    <t>MADILYN</t>
  </si>
  <si>
    <t>RAINIER</t>
  </si>
  <si>
    <t>AVANI</t>
  </si>
  <si>
    <t>TAYLOR</t>
  </si>
  <si>
    <t>COLTON</t>
  </si>
  <si>
    <t>PAULHAMUS</t>
  </si>
  <si>
    <t>ASHLIN</t>
  </si>
  <si>
    <t>CAIDEN</t>
  </si>
  <si>
    <t>WRIGHT</t>
  </si>
  <si>
    <t>HANNAH</t>
  </si>
  <si>
    <t>YOUNG</t>
  </si>
  <si>
    <t>NYIEER</t>
  </si>
  <si>
    <t>MARTIN</t>
  </si>
  <si>
    <t>BRIANNA</t>
  </si>
  <si>
    <t>CARPENTER</t>
  </si>
  <si>
    <t>NOAH</t>
  </si>
  <si>
    <t>GROVE</t>
  </si>
  <si>
    <t>PRYOR</t>
  </si>
  <si>
    <t>BREENA</t>
  </si>
  <si>
    <t>SCHWANGER</t>
  </si>
  <si>
    <t>MADELYN</t>
  </si>
  <si>
    <t>TITUS</t>
  </si>
  <si>
    <t>DYLAN</t>
  </si>
  <si>
    <t>CAMPBELL-WHITEHEAD</t>
  </si>
  <si>
    <t>PAIGE</t>
  </si>
  <si>
    <t>GUNSALLUS</t>
  </si>
  <si>
    <t>CADEN</t>
  </si>
  <si>
    <t>WAY</t>
  </si>
  <si>
    <t>JACOB</t>
  </si>
  <si>
    <t>ECKMAN</t>
  </si>
  <si>
    <t>GALLOWAY</t>
  </si>
  <si>
    <t>ZYHAIRAH</t>
  </si>
  <si>
    <t>HACKENBERG</t>
  </si>
  <si>
    <t>DONAVIN</t>
  </si>
  <si>
    <t>MARIN</t>
  </si>
  <si>
    <t>MALAYKI</t>
  </si>
  <si>
    <t>STAFFORD</t>
  </si>
  <si>
    <t>NE'QWAN</t>
  </si>
  <si>
    <t>CAMPBELL</t>
  </si>
  <si>
    <t>ALBERT</t>
  </si>
  <si>
    <t>GARFIELD</t>
  </si>
  <si>
    <t>NASIR</t>
  </si>
  <si>
    <t>SCOTT</t>
  </si>
  <si>
    <t>KELIS</t>
  </si>
  <si>
    <t>WILLIAMS</t>
  </si>
  <si>
    <t>DIANDRE</t>
  </si>
  <si>
    <t>FLANDERS</t>
  </si>
  <si>
    <t>MAHIIYA</t>
  </si>
  <si>
    <t>LAIR</t>
  </si>
  <si>
    <t>MAVERICK</t>
  </si>
  <si>
    <t>PETERS</t>
  </si>
  <si>
    <t>RORY</t>
  </si>
  <si>
    <t>HEILMEIER</t>
  </si>
  <si>
    <t>HALEY</t>
  </si>
  <si>
    <t>LEE</t>
  </si>
  <si>
    <t>NAOMI</t>
  </si>
  <si>
    <t>RAKER</t>
  </si>
  <si>
    <t>JACKSON</t>
  </si>
  <si>
    <t>RATLIFF</t>
  </si>
  <si>
    <t>KARMA</t>
  </si>
  <si>
    <t>MACKEY</t>
  </si>
  <si>
    <t>MENC</t>
  </si>
  <si>
    <t>MOATE</t>
  </si>
  <si>
    <t>KHAMYA</t>
  </si>
  <si>
    <t>RANSOM</t>
  </si>
  <si>
    <t>RYMIR</t>
  </si>
  <si>
    <t>SMITH</t>
  </si>
  <si>
    <t>KAMAJ</t>
  </si>
  <si>
    <t>WARE</t>
  </si>
  <si>
    <t>ANDREW</t>
  </si>
  <si>
    <t>WISLAR</t>
  </si>
  <si>
    <t>VIRGINIA</t>
  </si>
  <si>
    <t>BAYLIS</t>
  </si>
  <si>
    <t>JADE</t>
  </si>
  <si>
    <t>COLLEY</t>
  </si>
  <si>
    <t>SAJJID</t>
  </si>
  <si>
    <t>PIGFORD</t>
  </si>
  <si>
    <t>BROOKLYN</t>
  </si>
  <si>
    <t>TIEGAN</t>
  </si>
  <si>
    <t>SOPHIA</t>
  </si>
  <si>
    <t>BLACKWELL</t>
  </si>
  <si>
    <t>HYDIA</t>
  </si>
  <si>
    <t>ELGABRY</t>
  </si>
  <si>
    <t>NAWAL</t>
  </si>
  <si>
    <t>HAMILTON</t>
  </si>
  <si>
    <t>LILY</t>
  </si>
  <si>
    <t>JUMAWAN</t>
  </si>
  <si>
    <t>ALEXA PAULINE</t>
  </si>
  <si>
    <t>RICHARD</t>
  </si>
  <si>
    <t>JAZMYN</t>
  </si>
  <si>
    <t>STEPHENS</t>
  </si>
  <si>
    <t>ZAHIR</t>
  </si>
  <si>
    <t>WILSON-BROWN</t>
  </si>
  <si>
    <t>JOSIE</t>
  </si>
  <si>
    <t>BANEY</t>
  </si>
  <si>
    <t>ALANA</t>
  </si>
  <si>
    <t>DAVIS</t>
  </si>
  <si>
    <t>ROBERT</t>
  </si>
  <si>
    <t>DRUMMOND</t>
  </si>
  <si>
    <t>A'DRYN</t>
  </si>
  <si>
    <t>HAINES</t>
  </si>
  <si>
    <t>MADISON</t>
  </si>
  <si>
    <t>MCLAUGHLIN</t>
  </si>
  <si>
    <t>MAKHI</t>
  </si>
  <si>
    <t>VICTORIA</t>
  </si>
  <si>
    <t>BAINES</t>
  </si>
  <si>
    <t>DAYIANNA</t>
  </si>
  <si>
    <t>BROWN</t>
  </si>
  <si>
    <t>AMAYA</t>
  </si>
  <si>
    <t>DIAZ</t>
  </si>
  <si>
    <t>ANGELIQUE</t>
  </si>
  <si>
    <t>OTT</t>
  </si>
  <si>
    <t>ADRIANA</t>
  </si>
  <si>
    <t>SURUJBALLY</t>
  </si>
  <si>
    <t>DULAURIE</t>
  </si>
  <si>
    <t>SWEETING</t>
  </si>
  <si>
    <t>NIVEA</t>
  </si>
  <si>
    <t>DERR</t>
  </si>
  <si>
    <t>ASHLEY</t>
  </si>
  <si>
    <t>DUNN</t>
  </si>
  <si>
    <t>SUNNAE</t>
  </si>
  <si>
    <t>ARIANNA</t>
  </si>
  <si>
    <t>GALAGARZA</t>
  </si>
  <si>
    <t>FANTASIA</t>
  </si>
  <si>
    <t>JENKINS</t>
  </si>
  <si>
    <t>JYHIID</t>
  </si>
  <si>
    <t>LYNCH</t>
  </si>
  <si>
    <t>JULIANNA</t>
  </si>
  <si>
    <t>RAY</t>
  </si>
  <si>
    <t>NI'YAE</t>
  </si>
  <si>
    <t>FRAZIER</t>
  </si>
  <si>
    <t>SAHRIYA</t>
  </si>
  <si>
    <t>FRYE</t>
  </si>
  <si>
    <t>PARIS</t>
  </si>
  <si>
    <t>OLIVER</t>
  </si>
  <si>
    <t>ISAIAH</t>
  </si>
  <si>
    <t>SESSOMS-KELLAM</t>
  </si>
  <si>
    <t>RAKEEM</t>
  </si>
  <si>
    <t>MIA</t>
  </si>
  <si>
    <t>DELKER</t>
  </si>
  <si>
    <t>HARDEN</t>
  </si>
  <si>
    <t>JAEKAIRAH</t>
  </si>
  <si>
    <t>HARVEY</t>
  </si>
  <si>
    <t>KYRA</t>
  </si>
  <si>
    <t>PRATT</t>
  </si>
  <si>
    <t>SAMAYA</t>
  </si>
  <si>
    <t>THOMPSON</t>
  </si>
  <si>
    <t>RHYA</t>
  </si>
  <si>
    <t>GRISSOM</t>
  </si>
  <si>
    <t>BREAIONA</t>
  </si>
  <si>
    <t>JOHNSON</t>
  </si>
  <si>
    <t>ELIJAH</t>
  </si>
  <si>
    <t>MITCHELL</t>
  </si>
  <si>
    <t>ANIYAH</t>
  </si>
  <si>
    <t>RUMSEY</t>
  </si>
  <si>
    <t>LILLIAN</t>
  </si>
  <si>
    <t>JAYDA</t>
  </si>
  <si>
    <t>WINDER</t>
  </si>
  <si>
    <t>BRYCE</t>
  </si>
  <si>
    <t>DEITRICK</t>
  </si>
  <si>
    <t>RORIE-YOUNG</t>
  </si>
  <si>
    <t>JAYON</t>
  </si>
  <si>
    <t>SMALLS</t>
  </si>
  <si>
    <t>TERRELL</t>
  </si>
  <si>
    <t>FLOYD</t>
  </si>
  <si>
    <t>KEYAIRA</t>
  </si>
  <si>
    <t>HICKS</t>
  </si>
  <si>
    <t>TRENTON</t>
  </si>
  <si>
    <t>KOCH</t>
  </si>
  <si>
    <t>LEILA</t>
  </si>
  <si>
    <t>YARBOROUGH</t>
  </si>
  <si>
    <t>ZYKEAM</t>
  </si>
  <si>
    <t>GRIFFIN</t>
  </si>
  <si>
    <t>LASHYA</t>
  </si>
  <si>
    <t>HAINEY</t>
  </si>
  <si>
    <t>NAJEER</t>
  </si>
  <si>
    <t>GREG</t>
  </si>
  <si>
    <t>HOFFMAN</t>
  </si>
  <si>
    <t>AVA</t>
  </si>
  <si>
    <t>MEARES</t>
  </si>
  <si>
    <t>AMIRIAH</t>
  </si>
  <si>
    <t>ROBINSON</t>
  </si>
  <si>
    <t>IZIAH</t>
  </si>
  <si>
    <t>RALIE</t>
  </si>
  <si>
    <t>SEYLER</t>
  </si>
  <si>
    <t>FRANCISKA</t>
  </si>
  <si>
    <t>WOODS</t>
  </si>
  <si>
    <t>TAYKEEMAH</t>
  </si>
  <si>
    <t>CONEY</t>
  </si>
  <si>
    <t>PAYTON</t>
  </si>
  <si>
    <t>CRUZ</t>
  </si>
  <si>
    <t>DOMINIK</t>
  </si>
  <si>
    <t>FINLEY</t>
  </si>
  <si>
    <t>MARAYA</t>
  </si>
  <si>
    <t>KIEFFER</t>
  </si>
  <si>
    <t>ARES</t>
  </si>
  <si>
    <t>SHIRD</t>
  </si>
  <si>
    <t>KELLY</t>
  </si>
  <si>
    <t>SIMS</t>
  </si>
  <si>
    <t>GABRIELLE</t>
  </si>
  <si>
    <t>BEST</t>
  </si>
  <si>
    <t>SEAN</t>
  </si>
  <si>
    <t>GILCHRIST</t>
  </si>
  <si>
    <t>NA'JIRRAH</t>
  </si>
  <si>
    <t>HILL</t>
  </si>
  <si>
    <t>ZORIAH</t>
  </si>
  <si>
    <t>DIEMER</t>
  </si>
  <si>
    <t>NICHOLAS</t>
  </si>
  <si>
    <t>EMERY</t>
  </si>
  <si>
    <t>XAVIER</t>
  </si>
  <si>
    <t>LOPEZ</t>
  </si>
  <si>
    <t>RAHMIRE</t>
  </si>
  <si>
    <t>VOUGHT</t>
  </si>
  <si>
    <t>ALICEA</t>
  </si>
  <si>
    <t>JAZLYNN</t>
  </si>
  <si>
    <t>MILLER</t>
  </si>
  <si>
    <t>KIERE</t>
  </si>
  <si>
    <t>RIDER</t>
  </si>
  <si>
    <t>KADEN</t>
  </si>
  <si>
    <t>JASIM</t>
  </si>
  <si>
    <t>TALLEY</t>
  </si>
  <si>
    <t>ARRON</t>
  </si>
  <si>
    <t>TUBBS</t>
  </si>
  <si>
    <t>MALIK</t>
  </si>
  <si>
    <t>AMOS</t>
  </si>
  <si>
    <t>ISHMAEL</t>
  </si>
  <si>
    <t>HELM</t>
  </si>
  <si>
    <t>JACOBIE</t>
  </si>
  <si>
    <t>SAAR</t>
  </si>
  <si>
    <t>CARTER</t>
  </si>
  <si>
    <t>HA'NI</t>
  </si>
  <si>
    <t>TYKIR</t>
  </si>
  <si>
    <t>ZIARA</t>
  </si>
  <si>
    <t>MARLIN</t>
  </si>
  <si>
    <t>HUFF</t>
  </si>
  <si>
    <t>EDEN</t>
  </si>
  <si>
    <t>Cook</t>
  </si>
  <si>
    <t>Loehr</t>
  </si>
  <si>
    <t>Gair</t>
  </si>
  <si>
    <t>Lehr</t>
  </si>
  <si>
    <t>Armstrong</t>
  </si>
  <si>
    <t>Steele</t>
  </si>
  <si>
    <t>Bowers</t>
  </si>
  <si>
    <t>Hicks</t>
  </si>
  <si>
    <t>Hanna</t>
  </si>
  <si>
    <t>Juana</t>
  </si>
  <si>
    <t>ETHAN CHILSON</t>
  </si>
  <si>
    <t>MADELYNN RINKER</t>
  </si>
  <si>
    <t>ALEXANDER BIDDLE</t>
  </si>
  <si>
    <t>PARKER FOX</t>
  </si>
  <si>
    <t>AVANI RAINIER</t>
  </si>
  <si>
    <t>CADEN GUNSALLUS</t>
  </si>
  <si>
    <t>NASIR GARFIELD</t>
  </si>
  <si>
    <t>BROOKLYN PIGFORD</t>
  </si>
  <si>
    <t>ALANA BANEY</t>
  </si>
  <si>
    <t>ASHLEY DERR</t>
  </si>
  <si>
    <t>SUNNAE DUNN</t>
  </si>
  <si>
    <t>LILLIAN RUMSEY</t>
  </si>
  <si>
    <t>ZYKEAM YARBOROUGH</t>
  </si>
  <si>
    <t>DOMINIK CRUZ</t>
  </si>
  <si>
    <t>RAHMIRE LOPEZ</t>
  </si>
  <si>
    <t>ARRON TALLEY</t>
  </si>
  <si>
    <t>ETHAN SAAR</t>
  </si>
  <si>
    <t>MARLIN CARPENTER</t>
  </si>
  <si>
    <t>KYE DIAKITE</t>
  </si>
  <si>
    <t>DYLANA RICHARDS</t>
  </si>
  <si>
    <t>CASHLIN ROGERS</t>
  </si>
  <si>
    <t>WYATT GROVE</t>
  </si>
  <si>
    <t>ZYHAIRAH GALLOWAY</t>
  </si>
  <si>
    <t>MALAYKI MARIN</t>
  </si>
  <si>
    <t>ALBERT CAMPBELL</t>
  </si>
  <si>
    <t>A'DRYN DRUMMOND</t>
  </si>
  <si>
    <t>PARIS FRYE</t>
  </si>
  <si>
    <t>CAIDEN DELKER</t>
  </si>
  <si>
    <t>RHYA THOMPSON</t>
  </si>
  <si>
    <t>TERRELL SMALLS</t>
  </si>
  <si>
    <t>NAJEER HAINEY</t>
  </si>
  <si>
    <t>RALIE ROGERS</t>
  </si>
  <si>
    <t>TAYKEEMAH WOODS</t>
  </si>
  <si>
    <t>ZORIAH HILL</t>
  </si>
  <si>
    <t>NICHOLAS DIEMER</t>
  </si>
  <si>
    <t>JAZLYNN ALICEA</t>
  </si>
  <si>
    <t>HA'NI CARTER</t>
  </si>
  <si>
    <t>WILLIAM CIABATTARI</t>
  </si>
  <si>
    <t>CAIDEN SCARFO</t>
  </si>
  <si>
    <t>NYIEER YOUNG</t>
  </si>
  <si>
    <t>BRIANNA MARTIN</t>
  </si>
  <si>
    <t>STEVEN ECKMAN</t>
  </si>
  <si>
    <t>DONAVIN HACKENBERG</t>
  </si>
  <si>
    <t>RORY PETERS</t>
  </si>
  <si>
    <t>JACKSON MACKEY</t>
  </si>
  <si>
    <t>FIONA MENC</t>
  </si>
  <si>
    <t>JADE BAYLIS</t>
  </si>
  <si>
    <t>SAJJID COLLEY</t>
  </si>
  <si>
    <t>DULAURIE SURUJBALLY</t>
  </si>
  <si>
    <t>ARIANNA FOX</t>
  </si>
  <si>
    <t>JAEKAIRAH HARDEN</t>
  </si>
  <si>
    <t>AMIRIAH MEARES</t>
  </si>
  <si>
    <t>STEVEN SPIVEY</t>
  </si>
  <si>
    <t>DOMINIC SCARFO</t>
  </si>
  <si>
    <t>COLTON TAYLOR</t>
  </si>
  <si>
    <t>BREENA PRYOR</t>
  </si>
  <si>
    <t>MAHIIYA FLANDERS</t>
  </si>
  <si>
    <t>MAVERICK LAIR</t>
  </si>
  <si>
    <t>HALEY HEILMEIER</t>
  </si>
  <si>
    <t>JACKSON RAKER</t>
  </si>
  <si>
    <t>KHAMYA MOATE</t>
  </si>
  <si>
    <t>MADISON HAINES</t>
  </si>
  <si>
    <t>VICTORIA WISLAR</t>
  </si>
  <si>
    <t>FANTASIA GALAGARZA</t>
  </si>
  <si>
    <t>JULIANNA LYNCH</t>
  </si>
  <si>
    <t>DYLAN VOUGHT</t>
  </si>
  <si>
    <t>JACOBIE HELM</t>
  </si>
  <si>
    <t>TYKIR SMITH</t>
  </si>
  <si>
    <t>ZIARA CONEY</t>
  </si>
  <si>
    <t>EDEN HUFF</t>
  </si>
  <si>
    <t>Juana Hanna</t>
  </si>
  <si>
    <t>COLLIN NASDEO</t>
  </si>
  <si>
    <t>PETROVA HINSHAW</t>
  </si>
  <si>
    <t>MADILYN HELLER</t>
  </si>
  <si>
    <t>ASHLIN PAULHAMUS</t>
  </si>
  <si>
    <t>HANNAH WRIGHT</t>
  </si>
  <si>
    <t>NE'QWAN STAFFORD</t>
  </si>
  <si>
    <t>NAOMI LEE</t>
  </si>
  <si>
    <t>NIVEA SWEETING</t>
  </si>
  <si>
    <t>SAHRIYA FRAZIER</t>
  </si>
  <si>
    <t>KYRA HARVEY</t>
  </si>
  <si>
    <t>BREAIONA GRISSOM</t>
  </si>
  <si>
    <t>ELIJAH JOHNSON</t>
  </si>
  <si>
    <t>LASHYA GRIFFIN</t>
  </si>
  <si>
    <t>IZIAH ROBINSON</t>
  </si>
  <si>
    <t>FRANCISKA SEYLER</t>
  </si>
  <si>
    <t>KELLY SHIRD</t>
  </si>
  <si>
    <t>SEAN BEST</t>
  </si>
  <si>
    <t>XAVIER EMERY</t>
  </si>
  <si>
    <t>KADEN RIDER</t>
  </si>
  <si>
    <t>WYATT JUDGE</t>
  </si>
  <si>
    <t>MADELYN SCHWANGER</t>
  </si>
  <si>
    <t>DIANDRE WILLIAMS</t>
  </si>
  <si>
    <t>RYMIR RANSOM</t>
  </si>
  <si>
    <t>KAMAJ SMITH</t>
  </si>
  <si>
    <t>ANDREW WARE</t>
  </si>
  <si>
    <t>VIRGINIA WISLAR</t>
  </si>
  <si>
    <t>SOPHIA SMITH</t>
  </si>
  <si>
    <t>HYDIA BLACKWELL</t>
  </si>
  <si>
    <t>NAWAL ELGABRY</t>
  </si>
  <si>
    <t>JAZMYN RICHARD</t>
  </si>
  <si>
    <t>ROBERT DAVIS</t>
  </si>
  <si>
    <t>ISAIAH OLIVER</t>
  </si>
  <si>
    <t>RAKEEM SESSOMS-KELLAM</t>
  </si>
  <si>
    <t>MIA DAVIS</t>
  </si>
  <si>
    <t>ANIYAH MITCHELL</t>
  </si>
  <si>
    <t>AVA HOFFMAN</t>
  </si>
  <si>
    <t>MARAYA FINLEY</t>
  </si>
  <si>
    <t>ARES MARTIN</t>
  </si>
  <si>
    <t>NA'JIRRAH GILCHRIST</t>
  </si>
  <si>
    <t>FIONA MCGEHEAN</t>
  </si>
  <si>
    <t>TAALI BUIE</t>
  </si>
  <si>
    <t>CONNOR ZDUN</t>
  </si>
  <si>
    <t>NOAH CARPENTER</t>
  </si>
  <si>
    <t>PAIGE CAMPBELL-WHITEHEAD</t>
  </si>
  <si>
    <t>JACOB WAY</t>
  </si>
  <si>
    <t>KARMA RATLIFF</t>
  </si>
  <si>
    <t>DAYIANNA BAINES</t>
  </si>
  <si>
    <t>AMAYA BROWN</t>
  </si>
  <si>
    <t>ANGELIQUE DIAZ</t>
  </si>
  <si>
    <t>JYHIID JENKINS</t>
  </si>
  <si>
    <t>BRYCE WINDER</t>
  </si>
  <si>
    <t>NOAH DEITRICK</t>
  </si>
  <si>
    <t>JAYON RORIE-YOUNG</t>
  </si>
  <si>
    <t>KEYAIRA FLOYD</t>
  </si>
  <si>
    <t>GREG HARVEY</t>
  </si>
  <si>
    <t>CONNOR KIEFFER</t>
  </si>
  <si>
    <t>GABRIELLE SIMS</t>
  </si>
  <si>
    <t>KIERE MILLER</t>
  </si>
  <si>
    <t>JASIM SMITH</t>
  </si>
  <si>
    <t>ISHMAEL AMOS</t>
  </si>
  <si>
    <t>KARLEE MCNAUGHTON</t>
  </si>
  <si>
    <t>LEONARDO CALLE</t>
  </si>
  <si>
    <t>DYLAN TITUS</t>
  </si>
  <si>
    <t>KELIS SCOTT</t>
  </si>
  <si>
    <t>ALEXANDER TAYLOR</t>
  </si>
  <si>
    <t>TIEGAN ROGERS</t>
  </si>
  <si>
    <t>LILY HAMILTON</t>
  </si>
  <si>
    <t>ALEXA PAULINE JUMAWAN</t>
  </si>
  <si>
    <t>ZAHIR STEPHENS</t>
  </si>
  <si>
    <t>JOSIE WILSON-BROWN</t>
  </si>
  <si>
    <t>MAKHI MCLAUGHLIN</t>
  </si>
  <si>
    <t>ADRIANA OTT</t>
  </si>
  <si>
    <t>NI'YAE RAY</t>
  </si>
  <si>
    <t>SAMAYA PRATT</t>
  </si>
  <si>
    <t>JAYDA SWEETING</t>
  </si>
  <si>
    <t>TRENTON HICKS</t>
  </si>
  <si>
    <t>LEILA KOCH</t>
  </si>
  <si>
    <t>PAYTON CONEY</t>
  </si>
  <si>
    <t>MALIK TUBBS</t>
  </si>
  <si>
    <t>"At least one of" Principal Assignments</t>
  </si>
  <si>
    <t>"None of" Principal Assignments</t>
  </si>
  <si>
    <t>Does Prin Have Required Pref?</t>
  </si>
  <si>
    <t>Does Prin Have Block Pref?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</si>
</sst>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9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4" fillId="0" borderId="3" applyNumberFormat="0" applyFill="0" applyAlignment="0" applyProtection="0"/>
    <xf numFmtId="0" fontId="7" fillId="0" borderId="0" applyFill="0" applyProtection="0"/>
    <xf numFmtId="0" fontId="15" fillId="0" borderId="44" applyNumberFormat="0" applyFill="0" applyAlignment="0" applyProtection="0"/>
    <xf numFmtId="0" fontId="16" fillId="5" borderId="0" applyNumberFormat="0" applyBorder="0" applyAlignment="0" applyProtection="0"/>
    <xf numFmtId="0" fontId="14" fillId="6" borderId="0" applyNumberFormat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/>
    </xf>
    <xf numFmtId="0" fontId="3" fillId="3" borderId="1" xfId="3" applyAlignment="1">
      <alignment horizontal="center"/>
    </xf>
    <xf numFmtId="0" fontId="1" fillId="2" borderId="1" xfId="1" applyAlignment="1">
      <alignment horizontal="center"/>
    </xf>
    <xf numFmtId="0" fontId="1" fillId="2" borderId="5" xfId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2" borderId="12" xfId="1" applyBorder="1" applyAlignment="1">
      <alignment horizontal="center"/>
    </xf>
    <xf numFmtId="0" fontId="1" fillId="2" borderId="13" xfId="1" applyBorder="1" applyAlignment="1">
      <alignment horizontal="center"/>
    </xf>
    <xf numFmtId="0" fontId="1" fillId="2" borderId="14" xfId="1" applyBorder="1" applyAlignment="1">
      <alignment horizontal="center"/>
    </xf>
    <xf numFmtId="0" fontId="1" fillId="2" borderId="15" xfId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16" xfId="1" applyBorder="1" applyAlignment="1">
      <alignment horizontal="center"/>
    </xf>
    <xf numFmtId="0" fontId="1" fillId="2" borderId="17" xfId="1" applyBorder="1" applyAlignment="1">
      <alignment horizontal="center"/>
    </xf>
    <xf numFmtId="0" fontId="1" fillId="2" borderId="18" xfId="1" applyBorder="1" applyAlignment="1">
      <alignment horizontal="center"/>
    </xf>
    <xf numFmtId="0" fontId="1" fillId="2" borderId="19" xfId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6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 wrapText="1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6" fillId="0" borderId="10" xfId="0" applyFont="1" applyBorder="1" applyAlignment="1">
      <alignment horizontal="center" wrapText="1"/>
    </xf>
    <xf numFmtId="0" fontId="6" fillId="0" borderId="11" xfId="0" applyFont="1" applyBorder="1" applyAlignment="1">
      <alignment horizontal="center"/>
    </xf>
    <xf numFmtId="0" fontId="6" fillId="0" borderId="0" xfId="0" applyFont="1"/>
    <xf numFmtId="0" fontId="6" fillId="0" borderId="0" xfId="0" applyFont="1" applyBorder="1"/>
    <xf numFmtId="0" fontId="6" fillId="0" borderId="10" xfId="0" applyFont="1" applyBorder="1" applyAlignment="1">
      <alignment horizontal="centerContinuous"/>
    </xf>
    <xf numFmtId="0" fontId="6" fillId="0" borderId="11" xfId="0" applyFont="1" applyBorder="1" applyAlignment="1">
      <alignment horizontal="centerContinuous"/>
    </xf>
    <xf numFmtId="0" fontId="6" fillId="0" borderId="9" xfId="0" applyFont="1" applyBorder="1" applyAlignment="1">
      <alignment horizontal="centerContinuous"/>
    </xf>
    <xf numFmtId="0" fontId="6" fillId="0" borderId="2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horizontal="center" wrapText="1"/>
    </xf>
    <xf numFmtId="0" fontId="6" fillId="0" borderId="4" xfId="0" applyFont="1" applyBorder="1" applyAlignment="1"/>
    <xf numFmtId="0" fontId="6" fillId="0" borderId="6" xfId="0" applyFont="1" applyBorder="1"/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0" fillId="0" borderId="20" xfId="0" applyBorder="1"/>
    <xf numFmtId="0" fontId="0" fillId="0" borderId="22" xfId="0" applyBorder="1"/>
    <xf numFmtId="0" fontId="0" fillId="0" borderId="25" xfId="0" applyBorder="1"/>
    <xf numFmtId="0" fontId="0" fillId="0" borderId="27" xfId="0" applyBorder="1"/>
    <xf numFmtId="0" fontId="4" fillId="0" borderId="3" xfId="4" applyFill="1" applyAlignment="1">
      <alignment horizontal="center"/>
    </xf>
    <xf numFmtId="0" fontId="3" fillId="3" borderId="29" xfId="3" applyBorder="1" applyAlignment="1">
      <alignment horizontal="center"/>
    </xf>
    <xf numFmtId="0" fontId="3" fillId="3" borderId="30" xfId="3" applyBorder="1" applyAlignment="1">
      <alignment horizontal="center"/>
    </xf>
    <xf numFmtId="0" fontId="5" fillId="0" borderId="9" xfId="0" applyFont="1" applyBorder="1"/>
    <xf numFmtId="0" fontId="5" fillId="0" borderId="27" xfId="0" applyFont="1" applyBorder="1" applyAlignment="1">
      <alignment horizontal="centerContinuous"/>
    </xf>
    <xf numFmtId="0" fontId="6" fillId="0" borderId="11" xfId="0" applyFont="1" applyFill="1" applyBorder="1" applyAlignment="1">
      <alignment horizontal="center" wrapText="1"/>
    </xf>
    <xf numFmtId="0" fontId="0" fillId="0" borderId="21" xfId="0" applyBorder="1"/>
    <xf numFmtId="0" fontId="0" fillId="0" borderId="26" xfId="0" applyBorder="1"/>
    <xf numFmtId="0" fontId="2" fillId="3" borderId="4" xfId="2" applyBorder="1" applyAlignment="1">
      <alignment horizontal="center"/>
    </xf>
    <xf numFmtId="0" fontId="5" fillId="0" borderId="4" xfId="0" applyFont="1" applyBorder="1" applyAlignment="1">
      <alignment horizontal="center" wrapText="1"/>
    </xf>
    <xf numFmtId="0" fontId="3" fillId="3" borderId="18" xfId="3" applyBorder="1" applyAlignment="1">
      <alignment horizontal="center"/>
    </xf>
    <xf numFmtId="0" fontId="3" fillId="3" borderId="19" xfId="3" applyBorder="1" applyAlignment="1">
      <alignment horizontal="center"/>
    </xf>
    <xf numFmtId="2" fontId="3" fillId="3" borderId="18" xfId="3" applyNumberFormat="1" applyBorder="1" applyAlignment="1">
      <alignment horizontal="center"/>
    </xf>
    <xf numFmtId="2" fontId="3" fillId="3" borderId="19" xfId="3" applyNumberFormat="1" applyBorder="1" applyAlignment="1">
      <alignment horizontal="center"/>
    </xf>
    <xf numFmtId="0" fontId="0" fillId="0" borderId="0" xfId="0" applyAlignment="1">
      <alignment wrapText="1"/>
    </xf>
    <xf numFmtId="0" fontId="1" fillId="2" borderId="28" xfId="1" applyBorder="1" applyAlignment="1">
      <alignment horizontal="center" wrapText="1"/>
    </xf>
    <xf numFmtId="0" fontId="1" fillId="2" borderId="30" xfId="1" applyBorder="1" applyAlignment="1">
      <alignment horizontal="center" wrapText="1"/>
    </xf>
    <xf numFmtId="0" fontId="3" fillId="3" borderId="1" xfId="3" applyAlignment="1">
      <alignment horizontal="center" wrapText="1"/>
    </xf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25" xfId="0" applyFont="1" applyBorder="1" applyAlignment="1">
      <alignment horizontal="left"/>
    </xf>
    <xf numFmtId="0" fontId="5" fillId="0" borderId="26" xfId="0" applyFont="1" applyBorder="1" applyAlignment="1">
      <alignment horizontal="center" wrapText="1"/>
    </xf>
    <xf numFmtId="0" fontId="10" fillId="0" borderId="20" xfId="5" applyFont="1" applyFill="1" applyBorder="1" applyProtection="1"/>
    <xf numFmtId="0" fontId="5" fillId="0" borderId="21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2" fontId="3" fillId="3" borderId="17" xfId="3" applyNumberFormat="1" applyBorder="1" applyAlignment="1">
      <alignment horizontal="center"/>
    </xf>
    <xf numFmtId="0" fontId="3" fillId="3" borderId="17" xfId="3" applyBorder="1" applyAlignment="1">
      <alignment horizontal="center"/>
    </xf>
    <xf numFmtId="0" fontId="1" fillId="2" borderId="33" xfId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1" fillId="2" borderId="35" xfId="1" applyBorder="1" applyAlignment="1">
      <alignment horizontal="center"/>
    </xf>
    <xf numFmtId="0" fontId="1" fillId="2" borderId="36" xfId="1" applyBorder="1" applyAlignment="1">
      <alignment horizontal="center"/>
    </xf>
    <xf numFmtId="2" fontId="1" fillId="2" borderId="1" xfId="1" applyNumberFormat="1" applyBorder="1" applyAlignment="1">
      <alignment horizontal="right"/>
    </xf>
    <xf numFmtId="0" fontId="1" fillId="2" borderId="32" xfId="1" applyBorder="1" applyAlignment="1">
      <alignment horizontal="center"/>
    </xf>
    <xf numFmtId="0" fontId="1" fillId="2" borderId="37" xfId="1" applyBorder="1" applyAlignment="1">
      <alignment horizontal="center"/>
    </xf>
    <xf numFmtId="0" fontId="9" fillId="0" borderId="38" xfId="0" applyFont="1" applyBorder="1" applyAlignment="1">
      <alignment wrapText="1"/>
    </xf>
    <xf numFmtId="0" fontId="9" fillId="0" borderId="39" xfId="0" applyFont="1" applyBorder="1" applyAlignment="1">
      <alignment wrapText="1"/>
    </xf>
    <xf numFmtId="0" fontId="9" fillId="0" borderId="40" xfId="0" applyFont="1" applyBorder="1" applyAlignment="1">
      <alignment wrapText="1"/>
    </xf>
    <xf numFmtId="0" fontId="1" fillId="2" borderId="41" xfId="1" applyBorder="1" applyAlignment="1">
      <alignment horizontal="center" wrapText="1"/>
    </xf>
    <xf numFmtId="0" fontId="9" fillId="0" borderId="42" xfId="0" applyFont="1" applyBorder="1" applyAlignment="1">
      <alignment wrapText="1"/>
    </xf>
    <xf numFmtId="0" fontId="1" fillId="2" borderId="43" xfId="1" applyBorder="1" applyAlignment="1">
      <alignment horizontal="center" wrapText="1"/>
    </xf>
    <xf numFmtId="0" fontId="2" fillId="3" borderId="2" xfId="2" applyAlignment="1">
      <alignment horizontal="center" wrapText="1"/>
    </xf>
    <xf numFmtId="0" fontId="2" fillId="3" borderId="2" xfId="2" applyAlignment="1">
      <alignment horizontal="center"/>
    </xf>
    <xf numFmtId="0" fontId="9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22" xfId="0" applyFont="1" applyBorder="1"/>
    <xf numFmtId="0" fontId="6" fillId="0" borderId="11" xfId="0" applyFont="1" applyBorder="1"/>
    <xf numFmtId="0" fontId="12" fillId="0" borderId="0" xfId="0" applyFont="1"/>
    <xf numFmtId="0" fontId="6" fillId="0" borderId="27" xfId="0" applyFont="1" applyBorder="1"/>
    <xf numFmtId="0" fontId="13" fillId="0" borderId="34" xfId="0" applyFont="1" applyBorder="1" applyAlignment="1">
      <alignment wrapText="1"/>
    </xf>
    <xf numFmtId="0" fontId="13" fillId="0" borderId="31" xfId="0" applyFont="1" applyBorder="1" applyAlignment="1">
      <alignment wrapText="1"/>
    </xf>
    <xf numFmtId="0" fontId="12" fillId="0" borderId="31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22" xfId="0" applyFont="1" applyBorder="1" applyAlignment="1">
      <alignment wrapText="1"/>
    </xf>
    <xf numFmtId="0" fontId="13" fillId="0" borderId="38" xfId="0" applyFont="1" applyBorder="1" applyAlignment="1">
      <alignment wrapText="1"/>
    </xf>
    <xf numFmtId="0" fontId="13" fillId="0" borderId="39" xfId="0" applyFont="1" applyBorder="1" applyAlignment="1">
      <alignment wrapText="1"/>
    </xf>
    <xf numFmtId="0" fontId="13" fillId="0" borderId="27" xfId="0" applyFont="1" applyBorder="1" applyAlignment="1">
      <alignment wrapText="1"/>
    </xf>
    <xf numFmtId="0" fontId="13" fillId="0" borderId="0" xfId="0" applyFont="1" applyFill="1" applyBorder="1" applyAlignment="1">
      <alignment wrapText="1"/>
    </xf>
    <xf numFmtId="2" fontId="3" fillId="3" borderId="1" xfId="3" applyNumberFormat="1" applyAlignment="1">
      <alignment horizontal="center"/>
    </xf>
    <xf numFmtId="1" fontId="3" fillId="3" borderId="1" xfId="3" applyNumberFormat="1" applyAlignment="1">
      <alignment horizontal="center"/>
    </xf>
    <xf numFmtId="0" fontId="5" fillId="0" borderId="23" xfId="0" applyFont="1" applyFill="1" applyBorder="1"/>
    <xf numFmtId="164" fontId="2" fillId="3" borderId="2" xfId="2" applyNumberFormat="1" applyAlignment="1">
      <alignment horizontal="center"/>
    </xf>
    <xf numFmtId="0" fontId="5" fillId="0" borderId="0" xfId="0" applyFont="1" applyAlignment="1">
      <alignment horizontal="right"/>
    </xf>
    <xf numFmtId="0" fontId="6" fillId="0" borderId="0" xfId="0" applyFont="1" applyFill="1" applyBorder="1"/>
    <xf numFmtId="0" fontId="5" fillId="0" borderId="0" xfId="0" applyFont="1" applyAlignment="1">
      <alignment horizontal="left"/>
    </xf>
    <xf numFmtId="2" fontId="1" fillId="2" borderId="1" xfId="1" applyNumberFormat="1" applyBorder="1" applyAlignment="1">
      <alignment horizontal="center"/>
    </xf>
    <xf numFmtId="1" fontId="2" fillId="3" borderId="2" xfId="2" applyNumberFormat="1" applyAlignment="1">
      <alignment horizontal="center"/>
    </xf>
    <xf numFmtId="0" fontId="2" fillId="3" borderId="2" xfId="2"/>
    <xf numFmtId="0" fontId="16" fillId="5" borderId="11" xfId="7" applyBorder="1" applyAlignment="1">
      <alignment horizontal="center" wrapText="1"/>
    </xf>
    <xf numFmtId="0" fontId="16" fillId="5" borderId="6" xfId="7" applyBorder="1" applyAlignment="1">
      <alignment horizontal="center" wrapText="1"/>
    </xf>
    <xf numFmtId="0" fontId="16" fillId="5" borderId="7" xfId="7" applyBorder="1" applyAlignment="1">
      <alignment horizontal="center" wrapText="1"/>
    </xf>
    <xf numFmtId="0" fontId="16" fillId="5" borderId="8" xfId="7" applyBorder="1" applyAlignment="1">
      <alignment horizontal="center" wrapText="1"/>
    </xf>
    <xf numFmtId="0" fontId="16" fillId="5" borderId="0" xfId="7" applyBorder="1" applyAlignment="1">
      <alignment horizontal="center" wrapText="1"/>
    </xf>
    <xf numFmtId="0" fontId="14" fillId="6" borderId="9" xfId="8" applyBorder="1" applyAlignment="1">
      <alignment horizontal="center"/>
    </xf>
    <xf numFmtId="0" fontId="14" fillId="6" borderId="4" xfId="8" applyBorder="1" applyAlignment="1">
      <alignment horizontal="center"/>
    </xf>
    <xf numFmtId="0" fontId="15" fillId="0" borderId="44" xfId="6" applyAlignment="1">
      <alignment horizontal="centerContinuous"/>
    </xf>
    <xf numFmtId="0" fontId="16" fillId="5" borderId="9" xfId="7" applyBorder="1" applyAlignment="1">
      <alignment horizontal="center"/>
    </xf>
    <xf numFmtId="0" fontId="2" fillId="3" borderId="45" xfId="2" applyBorder="1"/>
    <xf numFmtId="0" fontId="14" fillId="6" borderId="6" xfId="8" applyBorder="1" applyAlignment="1">
      <alignment horizontal="center"/>
    </xf>
    <xf numFmtId="0" fontId="14" fillId="6" borderId="7" xfId="8" applyBorder="1" applyAlignment="1">
      <alignment horizontal="center"/>
    </xf>
    <xf numFmtId="0" fontId="14" fillId="6" borderId="8" xfId="8" applyBorder="1" applyAlignment="1">
      <alignment horizontal="center"/>
    </xf>
    <xf numFmtId="0" fontId="1" fillId="2" borderId="1" xfId="1" applyProtection="1"/>
    <xf numFmtId="0" fontId="0" fillId="4" borderId="0" xfId="0" applyFill="1" applyAlignment="1">
      <alignment horizontal="center"/>
    </xf>
    <xf numFmtId="0" fontId="1" fillId="2" borderId="46" xfId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16" fillId="5" borderId="10" xfId="7" applyBorder="1" applyAlignment="1">
      <alignment horizontal="center"/>
    </xf>
    <xf numFmtId="0" fontId="0" fillId="6" borderId="27" xfId="8" applyFont="1" applyBorder="1" applyAlignment="1">
      <alignment horizontal="center" wrapText="1"/>
    </xf>
    <xf numFmtId="0" fontId="14" fillId="6" borderId="27" xfId="8" applyBorder="1" applyAlignment="1">
      <alignment horizontal="center" wrapText="1"/>
    </xf>
    <xf numFmtId="0" fontId="16" fillId="5" borderId="20" xfId="7" applyBorder="1" applyAlignment="1">
      <alignment horizontal="center" wrapText="1"/>
    </xf>
    <xf numFmtId="0" fontId="16" fillId="5" borderId="22" xfId="7" applyBorder="1" applyAlignment="1">
      <alignment horizontal="center" wrapText="1"/>
    </xf>
    <xf numFmtId="0" fontId="16" fillId="5" borderId="23" xfId="7" applyBorder="1" applyAlignment="1">
      <alignment horizontal="center" wrapText="1"/>
    </xf>
    <xf numFmtId="0" fontId="16" fillId="5" borderId="24" xfId="7" applyBorder="1" applyAlignment="1">
      <alignment horizontal="center" wrapText="1"/>
    </xf>
    <xf numFmtId="0" fontId="16" fillId="5" borderId="25" xfId="7" applyBorder="1" applyAlignment="1">
      <alignment horizontal="center" wrapText="1"/>
    </xf>
    <xf numFmtId="0" fontId="16" fillId="5" borderId="27" xfId="7" applyBorder="1" applyAlignment="1">
      <alignment horizontal="center" wrapText="1"/>
    </xf>
    <xf numFmtId="0" fontId="16" fillId="5" borderId="9" xfId="7" applyBorder="1" applyAlignment="1">
      <alignment horizontal="center" wrapText="1"/>
    </xf>
    <xf numFmtId="0" fontId="16" fillId="5" borderId="10" xfId="7" applyBorder="1" applyAlignment="1">
      <alignment horizontal="center" wrapText="1"/>
    </xf>
    <xf numFmtId="0" fontId="16" fillId="5" borderId="26" xfId="7" applyBorder="1" applyAlignment="1">
      <alignment horizontal="center" wrapText="1"/>
    </xf>
    <xf numFmtId="0" fontId="16" fillId="5" borderId="21" xfId="7" applyBorder="1" applyAlignment="1">
      <alignment horizontal="center" wrapText="1"/>
    </xf>
    <xf numFmtId="0" fontId="0" fillId="8" borderId="23" xfId="0" applyFill="1" applyBorder="1"/>
    <xf numFmtId="0" fontId="0" fillId="8" borderId="24" xfId="0" applyFill="1" applyBorder="1"/>
    <xf numFmtId="0" fontId="0" fillId="8" borderId="25" xfId="0" applyFill="1" applyBorder="1"/>
    <xf numFmtId="0" fontId="0" fillId="8" borderId="27" xfId="0" applyFill="1" applyBorder="1"/>
    <xf numFmtId="0" fontId="14" fillId="8" borderId="9" xfId="8" applyFill="1" applyBorder="1" applyAlignment="1">
      <alignment horizontal="center"/>
    </xf>
    <xf numFmtId="0" fontId="14" fillId="8" borderId="11" xfId="8" applyFill="1" applyBorder="1" applyAlignment="1">
      <alignment horizontal="center"/>
    </xf>
    <xf numFmtId="165" fontId="2" fillId="3" borderId="2" xfId="2" applyNumberFormat="1" applyAlignment="1">
      <alignment horizontal="center"/>
    </xf>
    <xf numFmtId="0" fontId="4" fillId="3" borderId="3" xfId="4" applyFill="1" applyAlignment="1">
      <alignment horizontal="center"/>
    </xf>
    <xf numFmtId="0" fontId="4" fillId="0" borderId="3" xfId="4" applyAlignment="1">
      <alignment horizontal="center"/>
    </xf>
    <xf numFmtId="0" fontId="0" fillId="6" borderId="4" xfId="8" applyFont="1" applyBorder="1" applyAlignment="1">
      <alignment horizontal="center"/>
    </xf>
    <xf numFmtId="0" fontId="0" fillId="0" borderId="47" xfId="0" applyBorder="1"/>
    <xf numFmtId="0" fontId="0" fillId="0" borderId="47" xfId="0" applyBorder="1" applyAlignment="1">
      <alignment horizontal="left" vertical="center"/>
    </xf>
    <xf numFmtId="0" fontId="0" fillId="0" borderId="24" xfId="0" applyBorder="1"/>
    <xf numFmtId="0" fontId="6" fillId="0" borderId="20" xfId="0" applyFont="1" applyBorder="1" applyAlignment="1">
      <alignment horizontal="centerContinuous"/>
    </xf>
    <xf numFmtId="0" fontId="6" fillId="0" borderId="21" xfId="0" applyFont="1" applyBorder="1" applyAlignment="1">
      <alignment horizontal="centerContinuous"/>
    </xf>
    <xf numFmtId="0" fontId="0" fillId="0" borderId="48" xfId="0" applyBorder="1"/>
    <xf numFmtId="0" fontId="1" fillId="2" borderId="49" xfId="1" applyBorder="1" applyAlignment="1">
      <alignment horizontal="center"/>
    </xf>
    <xf numFmtId="0" fontId="1" fillId="2" borderId="50" xfId="1" applyBorder="1" applyAlignment="1">
      <alignment horizontal="center"/>
    </xf>
    <xf numFmtId="2" fontId="1" fillId="2" borderId="46" xfId="1" applyNumberFormat="1" applyBorder="1" applyAlignment="1">
      <alignment horizontal="center"/>
    </xf>
    <xf numFmtId="0" fontId="5" fillId="0" borderId="47" xfId="0" applyFont="1" applyBorder="1" applyAlignment="1">
      <alignment horizontal="centerContinuous"/>
    </xf>
    <xf numFmtId="0" fontId="6" fillId="0" borderId="47" xfId="0" applyFont="1" applyBorder="1" applyAlignment="1"/>
    <xf numFmtId="0" fontId="6" fillId="0" borderId="47" xfId="0" applyFont="1" applyBorder="1" applyAlignment="1">
      <alignment horizontal="centerContinuous"/>
    </xf>
    <xf numFmtId="0" fontId="6" fillId="0" borderId="47" xfId="0" applyFont="1" applyBorder="1" applyAlignment="1">
      <alignment horizontal="center"/>
    </xf>
    <xf numFmtId="0" fontId="17" fillId="2" borderId="47" xfId="1" applyFont="1" applyBorder="1" applyAlignment="1">
      <alignment horizontal="center"/>
    </xf>
    <xf numFmtId="0" fontId="5" fillId="0" borderId="47" xfId="0" applyFont="1" applyBorder="1" applyAlignment="1">
      <alignment horizontal="left"/>
    </xf>
    <xf numFmtId="0" fontId="5" fillId="0" borderId="47" xfId="0" applyFont="1" applyBorder="1" applyAlignment="1">
      <alignment horizontal="center" wrapText="1"/>
    </xf>
    <xf numFmtId="0" fontId="6" fillId="0" borderId="47" xfId="0" applyFont="1" applyBorder="1" applyAlignment="1">
      <alignment horizontal="center" wrapText="1"/>
    </xf>
    <xf numFmtId="0" fontId="1" fillId="2" borderId="47" xfId="1" applyBorder="1" applyAlignment="1">
      <alignment horizontal="center"/>
    </xf>
    <xf numFmtId="0" fontId="0" fillId="0" borderId="47" xfId="0" applyFont="1" applyBorder="1" applyAlignment="1">
      <alignment horizontal="center"/>
    </xf>
    <xf numFmtId="0" fontId="0" fillId="0" borderId="47" xfId="0" applyBorder="1" applyAlignment="1">
      <alignment horizontal="center"/>
    </xf>
    <xf numFmtId="2" fontId="1" fillId="2" borderId="47" xfId="1" applyNumberFormat="1" applyBorder="1" applyAlignment="1">
      <alignment horizontal="center"/>
    </xf>
    <xf numFmtId="0" fontId="0" fillId="9" borderId="47" xfId="0" applyFill="1" applyBorder="1"/>
  </cellXfs>
  <cellStyles count="9">
    <cellStyle name="40% - Accent1" xfId="8" builtinId="31"/>
    <cellStyle name="Accent1" xfId="7" builtinId="29"/>
    <cellStyle name="Calculation" xfId="3" builtinId="22"/>
    <cellStyle name="Heading 1" xfId="6" builtinId="16"/>
    <cellStyle name="Input" xfId="1" builtinId="20"/>
    <cellStyle name="Linked Cell" xfId="4" builtinId="24"/>
    <cellStyle name="Normal" xfId="0" builtinId="0"/>
    <cellStyle name="Normal 2" xfId="5"/>
    <cellStyle name="Output" xfId="2" builtinId="21"/>
  </cellStyles>
  <dxfs count="1"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AssignmentModel!$U$291" lockText="1" noThreeD="1"/>
</file>

<file path=xl/ctrlProps/ctrlProp3.xml><?xml version="1.0" encoding="utf-8"?>
<formControlPr xmlns="http://schemas.microsoft.com/office/spreadsheetml/2009/9/main" objectType="CheckBox" checked="Checked" fmlaLink="AssignmentModel!$U$294" lockText="1" noThreeD="1"/>
</file>

<file path=xl/ctrlProps/ctrlProp4.xml><?xml version="1.0" encoding="utf-8"?>
<formControlPr xmlns="http://schemas.microsoft.com/office/spreadsheetml/2009/9/main" objectType="CheckBox" checked="Checked" fmlaLink="AssignmentModel!$U$297" lockText="1" noThreeD="1"/>
</file>

<file path=xl/ctrlProps/ctrlProp5.xml><?xml version="1.0" encoding="utf-8"?>
<formControlPr xmlns="http://schemas.microsoft.com/office/spreadsheetml/2009/9/main" objectType="CheckBox" checked="Checked" fmlaLink="AssignmentModel!$U$300" lockText="1" noThreeD="1"/>
</file>

<file path=xl/ctrlProps/ctrlProp6.xml><?xml version="1.0" encoding="utf-8"?>
<formControlPr xmlns="http://schemas.microsoft.com/office/spreadsheetml/2009/9/main" objectType="CheckBox" checked="Checked" fmlaLink="AssignmentModel!$U$303" lockText="1" noThreeD="1"/>
</file>

<file path=xl/ctrlProps/ctrlProp7.xml><?xml version="1.0" encoding="utf-8"?>
<formControlPr xmlns="http://schemas.microsoft.com/office/spreadsheetml/2009/9/main" objectType="CheckBox" checked="Checked" fmlaLink="AssignmentModel!$U$312" lockText="1" noThreeD="1"/>
</file>

<file path=xl/ctrlProps/ctrlProp8.xml><?xml version="1.0" encoding="utf-8"?>
<formControlPr xmlns="http://schemas.microsoft.com/office/spreadsheetml/2009/9/main" objectType="CheckBox" checked="Checked" fmlaLink="AssignmentModel!$U$306" lockText="1" noThreeD="1"/>
</file>

<file path=xl/ctrlProps/ctrlProp9.xml><?xml version="1.0" encoding="utf-8"?>
<formControlPr xmlns="http://schemas.microsoft.com/office/spreadsheetml/2009/9/main" objectType="CheckBox" checked="Checked" fmlaLink="AssignmentModel!$U$309" lockText="1" noThreeD="1"/>
</file>

<file path=xl/ctrlProps/ctrlProp10.xml><?xml version="1.0" encoding="utf-8"?>
<formControlPr xmlns="http://schemas.microsoft.com/office/spreadsheetml/2009/9/main" objectType="CheckBox" fmlaLink="AssignmentModel!$U$315" lockText="1" noThreeD="1"/>
</file>

<file path=xl/ctrlProps/ctrlProp11.xml><?xml version="1.0" encoding="utf-8"?>
<formControlPr xmlns="http://schemas.microsoft.com/office/spreadsheetml/2009/9/main" objectType="CheckBox" fmlaLink="AssignmentModel!$U$31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31</xdr:col>
      <xdr:colOff>0</xdr:colOff>
      <xdr:row>223</xdr:row>
      <xdr:rowOff>0</xdr:rowOff>
    </xdr:to>
    <xdr:sp macro="" textlink="">
      <xdr:nvSpPr>
        <xdr:cNvPr id="745" name="OpenSolver1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SpPr/>
      </xdr:nvSpPr>
      <xdr:spPr>
        <a:xfrm>
          <a:off x="19869150" y="1100138"/>
          <a:ext cx="6972300" cy="41905237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290</xdr:row>
      <xdr:rowOff>0</xdr:rowOff>
    </xdr:from>
    <xdr:to>
      <xdr:col>31</xdr:col>
      <xdr:colOff>0</xdr:colOff>
      <xdr:row>291</xdr:row>
      <xdr:rowOff>0</xdr:rowOff>
    </xdr:to>
    <xdr:sp macro="" textlink="">
      <xdr:nvSpPr>
        <xdr:cNvPr id="746" name="OpenSolver2">
          <a:extLst>
            <a:ext uri="{FF2B5EF4-FFF2-40B4-BE49-F238E27FC236}">
              <a16:creationId xmlns:a16="http://schemas.microsoft.com/office/drawing/2014/main" id="{00000000-0008-0000-0100-0000EA020000}"/>
            </a:ext>
          </a:extLst>
        </xdr:cNvPr>
        <xdr:cNvSpPr/>
      </xdr:nvSpPr>
      <xdr:spPr>
        <a:xfrm>
          <a:off x="19869150" y="55283100"/>
          <a:ext cx="6972300" cy="185738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293</xdr:row>
      <xdr:rowOff>0</xdr:rowOff>
    </xdr:from>
    <xdr:to>
      <xdr:col>31</xdr:col>
      <xdr:colOff>0</xdr:colOff>
      <xdr:row>294</xdr:row>
      <xdr:rowOff>0</xdr:rowOff>
    </xdr:to>
    <xdr:sp macro="" textlink="">
      <xdr:nvSpPr>
        <xdr:cNvPr id="747" name="OpenSolver3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SpPr/>
      </xdr:nvSpPr>
      <xdr:spPr>
        <a:xfrm>
          <a:off x="19869150" y="55840313"/>
          <a:ext cx="6972300" cy="185737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296</xdr:row>
      <xdr:rowOff>0</xdr:rowOff>
    </xdr:from>
    <xdr:to>
      <xdr:col>31</xdr:col>
      <xdr:colOff>0</xdr:colOff>
      <xdr:row>297</xdr:row>
      <xdr:rowOff>0</xdr:rowOff>
    </xdr:to>
    <xdr:sp macro="" textlink="">
      <xdr:nvSpPr>
        <xdr:cNvPr id="748" name="OpenSolver4">
          <a:extLst>
            <a:ext uri="{FF2B5EF4-FFF2-40B4-BE49-F238E27FC236}">
              <a16:creationId xmlns:a16="http://schemas.microsoft.com/office/drawing/2014/main" id="{00000000-0008-0000-0100-0000EC020000}"/>
            </a:ext>
          </a:extLst>
        </xdr:cNvPr>
        <xdr:cNvSpPr/>
      </xdr:nvSpPr>
      <xdr:spPr>
        <a:xfrm>
          <a:off x="19869150" y="56397525"/>
          <a:ext cx="6972300" cy="185738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299</xdr:row>
      <xdr:rowOff>0</xdr:rowOff>
    </xdr:from>
    <xdr:to>
      <xdr:col>31</xdr:col>
      <xdr:colOff>0</xdr:colOff>
      <xdr:row>300</xdr:row>
      <xdr:rowOff>0</xdr:rowOff>
    </xdr:to>
    <xdr:sp macro="" textlink="">
      <xdr:nvSpPr>
        <xdr:cNvPr id="749" name="OpenSolver5">
          <a:extLst>
            <a:ext uri="{FF2B5EF4-FFF2-40B4-BE49-F238E27FC236}">
              <a16:creationId xmlns:a16="http://schemas.microsoft.com/office/drawing/2014/main" id="{00000000-0008-0000-0100-0000ED020000}"/>
            </a:ext>
          </a:extLst>
        </xdr:cNvPr>
        <xdr:cNvSpPr/>
      </xdr:nvSpPr>
      <xdr:spPr>
        <a:xfrm>
          <a:off x="19869150" y="56954738"/>
          <a:ext cx="6972300" cy="185737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302</xdr:row>
      <xdr:rowOff>0</xdr:rowOff>
    </xdr:from>
    <xdr:to>
      <xdr:col>31</xdr:col>
      <xdr:colOff>0</xdr:colOff>
      <xdr:row>303</xdr:row>
      <xdr:rowOff>0</xdr:rowOff>
    </xdr:to>
    <xdr:sp macro="" textlink="">
      <xdr:nvSpPr>
        <xdr:cNvPr id="750" name="OpenSolver6">
          <a:extLst>
            <a:ext uri="{FF2B5EF4-FFF2-40B4-BE49-F238E27FC236}">
              <a16:creationId xmlns:a16="http://schemas.microsoft.com/office/drawing/2014/main" id="{00000000-0008-0000-0100-0000EE020000}"/>
            </a:ext>
          </a:extLst>
        </xdr:cNvPr>
        <xdr:cNvSpPr/>
      </xdr:nvSpPr>
      <xdr:spPr>
        <a:xfrm>
          <a:off x="19869150" y="57511950"/>
          <a:ext cx="6972300" cy="185738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305</xdr:row>
      <xdr:rowOff>0</xdr:rowOff>
    </xdr:from>
    <xdr:to>
      <xdr:col>31</xdr:col>
      <xdr:colOff>0</xdr:colOff>
      <xdr:row>306</xdr:row>
      <xdr:rowOff>0</xdr:rowOff>
    </xdr:to>
    <xdr:sp macro="" textlink="">
      <xdr:nvSpPr>
        <xdr:cNvPr id="751" name="OpenSolver7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>
        <a:xfrm>
          <a:off x="19869150" y="58069163"/>
          <a:ext cx="6972300" cy="185737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308</xdr:row>
      <xdr:rowOff>0</xdr:rowOff>
    </xdr:from>
    <xdr:to>
      <xdr:col>31</xdr:col>
      <xdr:colOff>0</xdr:colOff>
      <xdr:row>309</xdr:row>
      <xdr:rowOff>0</xdr:rowOff>
    </xdr:to>
    <xdr:sp macro="" textlink="">
      <xdr:nvSpPr>
        <xdr:cNvPr id="752" name="OpenSolver8"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/>
      </xdr:nvSpPr>
      <xdr:spPr>
        <a:xfrm>
          <a:off x="19869150" y="58626375"/>
          <a:ext cx="6972300" cy="185738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311</xdr:row>
      <xdr:rowOff>0</xdr:rowOff>
    </xdr:from>
    <xdr:to>
      <xdr:col>31</xdr:col>
      <xdr:colOff>0</xdr:colOff>
      <xdr:row>312</xdr:row>
      <xdr:rowOff>0</xdr:rowOff>
    </xdr:to>
    <xdr:sp macro="" textlink="">
      <xdr:nvSpPr>
        <xdr:cNvPr id="753" name="OpenSolver9"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>
        <a:xfrm>
          <a:off x="19869150" y="59183588"/>
          <a:ext cx="6972300" cy="185737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314</xdr:row>
      <xdr:rowOff>0</xdr:rowOff>
    </xdr:from>
    <xdr:to>
      <xdr:col>31</xdr:col>
      <xdr:colOff>0</xdr:colOff>
      <xdr:row>315</xdr:row>
      <xdr:rowOff>0</xdr:rowOff>
    </xdr:to>
    <xdr:sp macro="" textlink="">
      <xdr:nvSpPr>
        <xdr:cNvPr id="754" name="OpenSolver10"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/>
      </xdr:nvSpPr>
      <xdr:spPr>
        <a:xfrm>
          <a:off x="19869150" y="59740800"/>
          <a:ext cx="6972300" cy="185738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23</xdr:col>
      <xdr:colOff>0</xdr:colOff>
      <xdr:row>317</xdr:row>
      <xdr:rowOff>0</xdr:rowOff>
    </xdr:from>
    <xdr:to>
      <xdr:col>31</xdr:col>
      <xdr:colOff>0</xdr:colOff>
      <xdr:row>318</xdr:row>
      <xdr:rowOff>0</xdr:rowOff>
    </xdr:to>
    <xdr:sp macro="" textlink="">
      <xdr:nvSpPr>
        <xdr:cNvPr id="755" name="OpenSolver11">
          <a:extLs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SpPr/>
      </xdr:nvSpPr>
      <xdr:spPr>
        <a:xfrm>
          <a:off x="19869150" y="60298013"/>
          <a:ext cx="6972300" cy="18097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22</xdr:col>
      <xdr:colOff>0</xdr:colOff>
      <xdr:row>321</xdr:row>
      <xdr:rowOff>0</xdr:rowOff>
    </xdr:from>
    <xdr:to>
      <xdr:col>23</xdr:col>
      <xdr:colOff>0</xdr:colOff>
      <xdr:row>322</xdr:row>
      <xdr:rowOff>0</xdr:rowOff>
    </xdr:to>
    <xdr:sp macro="" textlink="">
      <xdr:nvSpPr>
        <xdr:cNvPr id="756" name="OpenSolver12">
          <a:extLst>
            <a:ext uri="{FF2B5EF4-FFF2-40B4-BE49-F238E27FC236}">
              <a16:creationId xmlns:a16="http://schemas.microsoft.com/office/drawing/2014/main" id="{00000000-0008-0000-0100-0000F4020000}"/>
            </a:ext>
          </a:extLst>
        </xdr:cNvPr>
        <xdr:cNvSpPr/>
      </xdr:nvSpPr>
      <xdr:spPr>
        <a:xfrm>
          <a:off x="18502313" y="61021913"/>
          <a:ext cx="1366837" cy="18097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21</xdr:col>
      <xdr:colOff>107950</xdr:colOff>
      <xdr:row>320</xdr:row>
      <xdr:rowOff>106362</xdr:rowOff>
    </xdr:from>
    <xdr:to>
      <xdr:col>22</xdr:col>
      <xdr:colOff>219976</xdr:colOff>
      <xdr:row>321</xdr:row>
      <xdr:rowOff>52387</xdr:rowOff>
    </xdr:to>
    <xdr:sp macro="" textlink="">
      <xdr:nvSpPr>
        <xdr:cNvPr id="757" name="OpenSolver13">
          <a:extLst>
            <a:ext uri="{FF2B5EF4-FFF2-40B4-BE49-F238E27FC236}">
              <a16:creationId xmlns:a16="http://schemas.microsoft.com/office/drawing/2014/main" id="{00000000-0008-0000-0100-0000F5020000}"/>
            </a:ext>
          </a:extLst>
        </xdr:cNvPr>
        <xdr:cNvSpPr/>
      </xdr:nvSpPr>
      <xdr:spPr>
        <a:xfrm>
          <a:off x="18491200" y="6094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33</xdr:col>
      <xdr:colOff>0</xdr:colOff>
      <xdr:row>223</xdr:row>
      <xdr:rowOff>0</xdr:rowOff>
    </xdr:to>
    <xdr:sp macro="" textlink="">
      <xdr:nvSpPr>
        <xdr:cNvPr id="758" name="OpenSolver14">
          <a:extLst>
            <a:ext uri="{FF2B5EF4-FFF2-40B4-BE49-F238E27FC236}">
              <a16:creationId xmlns:a16="http://schemas.microsoft.com/office/drawing/2014/main" id="{00000000-0008-0000-0100-0000F6020000}"/>
            </a:ext>
          </a:extLst>
        </xdr:cNvPr>
        <xdr:cNvSpPr/>
      </xdr:nvSpPr>
      <xdr:spPr>
        <a:xfrm>
          <a:off x="27674888" y="1100138"/>
          <a:ext cx="738187" cy="41905237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223</xdr:row>
      <xdr:rowOff>0</xdr:rowOff>
    </xdr:to>
    <xdr:sp macro="" textlink="">
      <xdr:nvSpPr>
        <xdr:cNvPr id="759" name="OpenSolver15">
          <a:extLst>
            <a:ext uri="{FF2B5EF4-FFF2-40B4-BE49-F238E27FC236}">
              <a16:creationId xmlns:a16="http://schemas.microsoft.com/office/drawing/2014/main" id="{00000000-0008-0000-0100-0000F7020000}"/>
            </a:ext>
          </a:extLst>
        </xdr:cNvPr>
        <xdr:cNvSpPr/>
      </xdr:nvSpPr>
      <xdr:spPr>
        <a:xfrm>
          <a:off x="28413075" y="1100138"/>
          <a:ext cx="438150" cy="41905237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33</xdr:col>
      <xdr:colOff>0</xdr:colOff>
      <xdr:row>113</xdr:row>
      <xdr:rowOff>2382</xdr:rowOff>
    </xdr:from>
    <xdr:to>
      <xdr:col>33</xdr:col>
      <xdr:colOff>0</xdr:colOff>
      <xdr:row>113</xdr:row>
      <xdr:rowOff>2382</xdr:rowOff>
    </xdr:to>
    <xdr:cxnSp macro="">
      <xdr:nvCxnSpPr>
        <xdr:cNvPr id="760" name="OpenSolver16">
          <a:extLst>
            <a:ext uri="{FF2B5EF4-FFF2-40B4-BE49-F238E27FC236}">
              <a16:creationId xmlns:a16="http://schemas.microsoft.com/office/drawing/2014/main" id="{00000000-0008-0000-0100-0000F8020000}"/>
            </a:ext>
          </a:extLst>
        </xdr:cNvPr>
        <xdr:cNvCxnSpPr>
          <a:stCxn id="758" idx="3"/>
          <a:endCxn id="759" idx="1"/>
        </xdr:cNvCxnSpPr>
      </xdr:nvCxnSpPr>
      <xdr:spPr>
        <a:xfrm>
          <a:off x="28413075" y="22052757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547687</xdr:colOff>
      <xdr:row>112</xdr:row>
      <xdr:rowOff>65881</xdr:rowOff>
    </xdr:from>
    <xdr:to>
      <xdr:col>33</xdr:col>
      <xdr:colOff>190500</xdr:colOff>
      <xdr:row>113</xdr:row>
      <xdr:rowOff>129381</xdr:rowOff>
    </xdr:to>
    <xdr:sp macro="" textlink="">
      <xdr:nvSpPr>
        <xdr:cNvPr id="761" name="OpenSolver17">
          <a:extLst>
            <a:ext uri="{FF2B5EF4-FFF2-40B4-BE49-F238E27FC236}">
              <a16:creationId xmlns:a16="http://schemas.microsoft.com/office/drawing/2014/main" id="{00000000-0008-0000-0100-0000F9020000}"/>
            </a:ext>
          </a:extLst>
        </xdr:cNvPr>
        <xdr:cNvSpPr/>
      </xdr:nvSpPr>
      <xdr:spPr>
        <a:xfrm>
          <a:off x="28222575" y="21925756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223</xdr:row>
      <xdr:rowOff>0</xdr:rowOff>
    </xdr:to>
    <xdr:sp macro="" textlink="">
      <xdr:nvSpPr>
        <xdr:cNvPr id="762" name="OpenSolver18">
          <a:extLst>
            <a:ext uri="{FF2B5EF4-FFF2-40B4-BE49-F238E27FC236}">
              <a16:creationId xmlns:a16="http://schemas.microsoft.com/office/drawing/2014/main" id="{00000000-0008-0000-0100-0000FA020000}"/>
            </a:ext>
          </a:extLst>
        </xdr:cNvPr>
        <xdr:cNvSpPr/>
      </xdr:nvSpPr>
      <xdr:spPr>
        <a:xfrm>
          <a:off x="28851225" y="1100138"/>
          <a:ext cx="1238250" cy="419052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223</xdr:row>
      <xdr:rowOff>0</xdr:rowOff>
    </xdr:to>
    <xdr:sp macro="" textlink="">
      <xdr:nvSpPr>
        <xdr:cNvPr id="763" name="OpenSolver19">
          <a:extLst>
            <a:ext uri="{FF2B5EF4-FFF2-40B4-BE49-F238E27FC236}">
              <a16:creationId xmlns:a16="http://schemas.microsoft.com/office/drawing/2014/main" id="{00000000-0008-0000-0100-0000FB020000}"/>
            </a:ext>
          </a:extLst>
        </xdr:cNvPr>
        <xdr:cNvSpPr/>
      </xdr:nvSpPr>
      <xdr:spPr>
        <a:xfrm>
          <a:off x="30089475" y="1100138"/>
          <a:ext cx="619125" cy="419052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35</xdr:col>
      <xdr:colOff>0</xdr:colOff>
      <xdr:row>113</xdr:row>
      <xdr:rowOff>2382</xdr:rowOff>
    </xdr:from>
    <xdr:to>
      <xdr:col>35</xdr:col>
      <xdr:colOff>0</xdr:colOff>
      <xdr:row>113</xdr:row>
      <xdr:rowOff>2382</xdr:rowOff>
    </xdr:to>
    <xdr:cxnSp macro="">
      <xdr:nvCxnSpPr>
        <xdr:cNvPr id="764" name="OpenSolver20">
          <a:extLst>
            <a:ext uri="{FF2B5EF4-FFF2-40B4-BE49-F238E27FC236}">
              <a16:creationId xmlns:a16="http://schemas.microsoft.com/office/drawing/2014/main" id="{00000000-0008-0000-0100-0000FC020000}"/>
            </a:ext>
          </a:extLst>
        </xdr:cNvPr>
        <xdr:cNvCxnSpPr>
          <a:stCxn id="762" idx="3"/>
          <a:endCxn id="763" idx="1"/>
        </xdr:cNvCxnSpPr>
      </xdr:nvCxnSpPr>
      <xdr:spPr>
        <a:xfrm>
          <a:off x="30089475" y="22052757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1047750</xdr:colOff>
      <xdr:row>112</xdr:row>
      <xdr:rowOff>65881</xdr:rowOff>
    </xdr:from>
    <xdr:to>
      <xdr:col>35</xdr:col>
      <xdr:colOff>190500</xdr:colOff>
      <xdr:row>113</xdr:row>
      <xdr:rowOff>129381</xdr:rowOff>
    </xdr:to>
    <xdr:sp macro="" textlink="">
      <xdr:nvSpPr>
        <xdr:cNvPr id="765" name="OpenSolver21">
          <a:extLst>
            <a:ext uri="{FF2B5EF4-FFF2-40B4-BE49-F238E27FC236}">
              <a16:creationId xmlns:a16="http://schemas.microsoft.com/office/drawing/2014/main" id="{00000000-0008-0000-0100-0000FD020000}"/>
            </a:ext>
          </a:extLst>
        </xdr:cNvPr>
        <xdr:cNvSpPr/>
      </xdr:nvSpPr>
      <xdr:spPr>
        <a:xfrm>
          <a:off x="29898975" y="21925756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288</xdr:row>
      <xdr:rowOff>0</xdr:rowOff>
    </xdr:from>
    <xdr:to>
      <xdr:col>31</xdr:col>
      <xdr:colOff>0</xdr:colOff>
      <xdr:row>289</xdr:row>
      <xdr:rowOff>0</xdr:rowOff>
    </xdr:to>
    <xdr:sp macro="" textlink="">
      <xdr:nvSpPr>
        <xdr:cNvPr id="766" name="OpenSolver22">
          <a:extLst>
            <a:ext uri="{FF2B5EF4-FFF2-40B4-BE49-F238E27FC236}">
              <a16:creationId xmlns:a16="http://schemas.microsoft.com/office/drawing/2014/main" id="{00000000-0008-0000-0100-0000FE020000}"/>
            </a:ext>
          </a:extLst>
        </xdr:cNvPr>
        <xdr:cNvSpPr/>
      </xdr:nvSpPr>
      <xdr:spPr>
        <a:xfrm>
          <a:off x="19869150" y="54911625"/>
          <a:ext cx="6972300" cy="185738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12700</xdr:colOff>
      <xdr:row>290</xdr:row>
      <xdr:rowOff>12700</xdr:rowOff>
    </xdr:from>
    <xdr:to>
      <xdr:col>31</xdr:col>
      <xdr:colOff>0</xdr:colOff>
      <xdr:row>291</xdr:row>
      <xdr:rowOff>0</xdr:rowOff>
    </xdr:to>
    <xdr:sp macro="" textlink="">
      <xdr:nvSpPr>
        <xdr:cNvPr id="767" name="OpenSolver23">
          <a:extLst>
            <a:ext uri="{FF2B5EF4-FFF2-40B4-BE49-F238E27FC236}">
              <a16:creationId xmlns:a16="http://schemas.microsoft.com/office/drawing/2014/main" id="{00000000-0008-0000-0100-0000FF020000}"/>
            </a:ext>
          </a:extLst>
        </xdr:cNvPr>
        <xdr:cNvSpPr/>
      </xdr:nvSpPr>
      <xdr:spPr>
        <a:xfrm>
          <a:off x="19881850" y="55295800"/>
          <a:ext cx="6959600" cy="173038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289</xdr:row>
      <xdr:rowOff>0</xdr:rowOff>
    </xdr:from>
    <xdr:to>
      <xdr:col>26</xdr:col>
      <xdr:colOff>854075</xdr:colOff>
      <xdr:row>290</xdr:row>
      <xdr:rowOff>12700</xdr:rowOff>
    </xdr:to>
    <xdr:cxnSp macro="">
      <xdr:nvCxnSpPr>
        <xdr:cNvPr id="768" name="OpenSolver24">
          <a:extLst>
            <a:ext uri="{FF2B5EF4-FFF2-40B4-BE49-F238E27FC236}">
              <a16:creationId xmlns:a16="http://schemas.microsoft.com/office/drawing/2014/main" id="{00000000-0008-0000-0100-000000030000}"/>
            </a:ext>
          </a:extLst>
        </xdr:cNvPr>
        <xdr:cNvCxnSpPr>
          <a:stCxn id="766" idx="2"/>
          <a:endCxn id="767" idx="0"/>
        </xdr:cNvCxnSpPr>
      </xdr:nvCxnSpPr>
      <xdr:spPr>
        <a:xfrm>
          <a:off x="23355300" y="55097363"/>
          <a:ext cx="6350" cy="1984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288</xdr:row>
      <xdr:rowOff>157956</xdr:rowOff>
    </xdr:from>
    <xdr:to>
      <xdr:col>27</xdr:col>
      <xdr:colOff>174625</xdr:colOff>
      <xdr:row>290</xdr:row>
      <xdr:rowOff>40481</xdr:rowOff>
    </xdr:to>
    <xdr:sp macro="" textlink="">
      <xdr:nvSpPr>
        <xdr:cNvPr id="769" name="OpenSolver25">
          <a:extLst>
            <a:ext uri="{FF2B5EF4-FFF2-40B4-BE49-F238E27FC236}">
              <a16:creationId xmlns:a16="http://schemas.microsoft.com/office/drawing/2014/main" id="{00000000-0008-0000-0100-000001030000}"/>
            </a:ext>
          </a:extLst>
        </xdr:cNvPr>
        <xdr:cNvSpPr/>
      </xdr:nvSpPr>
      <xdr:spPr>
        <a:xfrm>
          <a:off x="23167975" y="55069581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289</xdr:row>
      <xdr:rowOff>0</xdr:rowOff>
    </xdr:from>
    <xdr:to>
      <xdr:col>31</xdr:col>
      <xdr:colOff>0</xdr:colOff>
      <xdr:row>290</xdr:row>
      <xdr:rowOff>0</xdr:rowOff>
    </xdr:to>
    <xdr:sp macro="" textlink="">
      <xdr:nvSpPr>
        <xdr:cNvPr id="770" name="OpenSolver26">
          <a:extLst>
            <a:ext uri="{FF2B5EF4-FFF2-40B4-BE49-F238E27FC236}">
              <a16:creationId xmlns:a16="http://schemas.microsoft.com/office/drawing/2014/main" id="{00000000-0008-0000-0100-000002030000}"/>
            </a:ext>
          </a:extLst>
        </xdr:cNvPr>
        <xdr:cNvSpPr/>
      </xdr:nvSpPr>
      <xdr:spPr>
        <a:xfrm>
          <a:off x="19869150" y="55097363"/>
          <a:ext cx="6972300" cy="185737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23</xdr:col>
      <xdr:colOff>25400</xdr:colOff>
      <xdr:row>290</xdr:row>
      <xdr:rowOff>25400</xdr:rowOff>
    </xdr:from>
    <xdr:to>
      <xdr:col>31</xdr:col>
      <xdr:colOff>0</xdr:colOff>
      <xdr:row>291</xdr:row>
      <xdr:rowOff>0</xdr:rowOff>
    </xdr:to>
    <xdr:sp macro="" textlink="">
      <xdr:nvSpPr>
        <xdr:cNvPr id="771" name="OpenSolver27">
          <a:extLst>
            <a:ext uri="{FF2B5EF4-FFF2-40B4-BE49-F238E27FC236}">
              <a16:creationId xmlns:a16="http://schemas.microsoft.com/office/drawing/2014/main" id="{00000000-0008-0000-0100-000003030000}"/>
            </a:ext>
          </a:extLst>
        </xdr:cNvPr>
        <xdr:cNvSpPr/>
      </xdr:nvSpPr>
      <xdr:spPr>
        <a:xfrm>
          <a:off x="19894550" y="55308500"/>
          <a:ext cx="6946900" cy="160338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290</xdr:row>
      <xdr:rowOff>0</xdr:rowOff>
    </xdr:from>
    <xdr:to>
      <xdr:col>26</xdr:col>
      <xdr:colOff>860425</xdr:colOff>
      <xdr:row>290</xdr:row>
      <xdr:rowOff>25400</xdr:rowOff>
    </xdr:to>
    <xdr:cxnSp macro="">
      <xdr:nvCxnSpPr>
        <xdr:cNvPr id="772" name="OpenSolver28">
          <a:extLst>
            <a:ext uri="{FF2B5EF4-FFF2-40B4-BE49-F238E27FC236}">
              <a16:creationId xmlns:a16="http://schemas.microsoft.com/office/drawing/2014/main" id="{00000000-0008-0000-0100-000004030000}"/>
            </a:ext>
          </a:extLst>
        </xdr:cNvPr>
        <xdr:cNvCxnSpPr>
          <a:stCxn id="770" idx="2"/>
          <a:endCxn id="771" idx="0"/>
        </xdr:cNvCxnSpPr>
      </xdr:nvCxnSpPr>
      <xdr:spPr>
        <a:xfrm>
          <a:off x="23355300" y="55283100"/>
          <a:ext cx="12700" cy="254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289</xdr:row>
      <xdr:rowOff>71437</xdr:rowOff>
    </xdr:from>
    <xdr:to>
      <xdr:col>27</xdr:col>
      <xdr:colOff>177800</xdr:colOff>
      <xdr:row>290</xdr:row>
      <xdr:rowOff>139700</xdr:rowOff>
    </xdr:to>
    <xdr:sp macro="" textlink="">
      <xdr:nvSpPr>
        <xdr:cNvPr id="773" name="OpenSolver29">
          <a:extLst>
            <a:ext uri="{FF2B5EF4-FFF2-40B4-BE49-F238E27FC236}">
              <a16:creationId xmlns:a16="http://schemas.microsoft.com/office/drawing/2014/main" id="{00000000-0008-0000-0100-000005030000}"/>
            </a:ext>
          </a:extLst>
        </xdr:cNvPr>
        <xdr:cNvSpPr/>
      </xdr:nvSpPr>
      <xdr:spPr>
        <a:xfrm>
          <a:off x="23171150" y="551688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291</xdr:row>
      <xdr:rowOff>0</xdr:rowOff>
    </xdr:from>
    <xdr:to>
      <xdr:col>31</xdr:col>
      <xdr:colOff>0</xdr:colOff>
      <xdr:row>292</xdr:row>
      <xdr:rowOff>0</xdr:rowOff>
    </xdr:to>
    <xdr:sp macro="" textlink="">
      <xdr:nvSpPr>
        <xdr:cNvPr id="774" name="OpenSolver30">
          <a:extLst>
            <a:ext uri="{FF2B5EF4-FFF2-40B4-BE49-F238E27FC236}">
              <a16:creationId xmlns:a16="http://schemas.microsoft.com/office/drawing/2014/main" id="{00000000-0008-0000-0100-000006030000}"/>
            </a:ext>
          </a:extLst>
        </xdr:cNvPr>
        <xdr:cNvSpPr/>
      </xdr:nvSpPr>
      <xdr:spPr>
        <a:xfrm>
          <a:off x="19869150" y="55468838"/>
          <a:ext cx="6972300" cy="185737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23</xdr:col>
      <xdr:colOff>12700</xdr:colOff>
      <xdr:row>293</xdr:row>
      <xdr:rowOff>12700</xdr:rowOff>
    </xdr:from>
    <xdr:to>
      <xdr:col>31</xdr:col>
      <xdr:colOff>0</xdr:colOff>
      <xdr:row>294</xdr:row>
      <xdr:rowOff>0</xdr:rowOff>
    </xdr:to>
    <xdr:sp macro="" textlink="">
      <xdr:nvSpPr>
        <xdr:cNvPr id="775" name="OpenSolver31">
          <a:extLst>
            <a:ext uri="{FF2B5EF4-FFF2-40B4-BE49-F238E27FC236}">
              <a16:creationId xmlns:a16="http://schemas.microsoft.com/office/drawing/2014/main" id="{00000000-0008-0000-0100-000007030000}"/>
            </a:ext>
          </a:extLst>
        </xdr:cNvPr>
        <xdr:cNvSpPr/>
      </xdr:nvSpPr>
      <xdr:spPr>
        <a:xfrm>
          <a:off x="19881850" y="55853013"/>
          <a:ext cx="6959600" cy="173037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292</xdr:row>
      <xdr:rowOff>0</xdr:rowOff>
    </xdr:from>
    <xdr:to>
      <xdr:col>26</xdr:col>
      <xdr:colOff>854075</xdr:colOff>
      <xdr:row>293</xdr:row>
      <xdr:rowOff>12700</xdr:rowOff>
    </xdr:to>
    <xdr:cxnSp macro="">
      <xdr:nvCxnSpPr>
        <xdr:cNvPr id="776" name="OpenSolver32">
          <a:extLst>
            <a:ext uri="{FF2B5EF4-FFF2-40B4-BE49-F238E27FC236}">
              <a16:creationId xmlns:a16="http://schemas.microsoft.com/office/drawing/2014/main" id="{00000000-0008-0000-0100-000008030000}"/>
            </a:ext>
          </a:extLst>
        </xdr:cNvPr>
        <xdr:cNvCxnSpPr>
          <a:stCxn id="774" idx="2"/>
          <a:endCxn id="775" idx="0"/>
        </xdr:cNvCxnSpPr>
      </xdr:nvCxnSpPr>
      <xdr:spPr>
        <a:xfrm>
          <a:off x="23355300" y="55654575"/>
          <a:ext cx="6350" cy="198438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291</xdr:row>
      <xdr:rowOff>157956</xdr:rowOff>
    </xdr:from>
    <xdr:to>
      <xdr:col>27</xdr:col>
      <xdr:colOff>174625</xdr:colOff>
      <xdr:row>293</xdr:row>
      <xdr:rowOff>40481</xdr:rowOff>
    </xdr:to>
    <xdr:sp macro="" textlink="">
      <xdr:nvSpPr>
        <xdr:cNvPr id="777" name="OpenSolver33">
          <a:extLst>
            <a:ext uri="{FF2B5EF4-FFF2-40B4-BE49-F238E27FC236}">
              <a16:creationId xmlns:a16="http://schemas.microsoft.com/office/drawing/2014/main" id="{00000000-0008-0000-0100-000009030000}"/>
            </a:ext>
          </a:extLst>
        </xdr:cNvPr>
        <xdr:cNvSpPr/>
      </xdr:nvSpPr>
      <xdr:spPr>
        <a:xfrm>
          <a:off x="23167975" y="55626794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316</xdr:row>
      <xdr:rowOff>0</xdr:rowOff>
    </xdr:from>
    <xdr:to>
      <xdr:col>31</xdr:col>
      <xdr:colOff>0</xdr:colOff>
      <xdr:row>317</xdr:row>
      <xdr:rowOff>0</xdr:rowOff>
    </xdr:to>
    <xdr:sp macro="" textlink="">
      <xdr:nvSpPr>
        <xdr:cNvPr id="778" name="OpenSolver34">
          <a:extLst>
            <a:ext uri="{FF2B5EF4-FFF2-40B4-BE49-F238E27FC236}">
              <a16:creationId xmlns:a16="http://schemas.microsoft.com/office/drawing/2014/main" id="{00000000-0008-0000-0100-00000A030000}"/>
            </a:ext>
          </a:extLst>
        </xdr:cNvPr>
        <xdr:cNvSpPr/>
      </xdr:nvSpPr>
      <xdr:spPr>
        <a:xfrm>
          <a:off x="19869150" y="60112275"/>
          <a:ext cx="6972300" cy="185738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23</xdr:col>
      <xdr:colOff>12700</xdr:colOff>
      <xdr:row>317</xdr:row>
      <xdr:rowOff>12700</xdr:rowOff>
    </xdr:from>
    <xdr:to>
      <xdr:col>31</xdr:col>
      <xdr:colOff>0</xdr:colOff>
      <xdr:row>318</xdr:row>
      <xdr:rowOff>0</xdr:rowOff>
    </xdr:to>
    <xdr:sp macro="" textlink="">
      <xdr:nvSpPr>
        <xdr:cNvPr id="779" name="OpenSolver35">
          <a:extLst>
            <a:ext uri="{FF2B5EF4-FFF2-40B4-BE49-F238E27FC236}">
              <a16:creationId xmlns:a16="http://schemas.microsoft.com/office/drawing/2014/main" id="{00000000-0008-0000-0100-00000B030000}"/>
            </a:ext>
          </a:extLst>
        </xdr:cNvPr>
        <xdr:cNvSpPr/>
      </xdr:nvSpPr>
      <xdr:spPr>
        <a:xfrm>
          <a:off x="19881850" y="60310713"/>
          <a:ext cx="6959600" cy="1682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317</xdr:row>
      <xdr:rowOff>0</xdr:rowOff>
    </xdr:from>
    <xdr:to>
      <xdr:col>26</xdr:col>
      <xdr:colOff>854075</xdr:colOff>
      <xdr:row>317</xdr:row>
      <xdr:rowOff>12700</xdr:rowOff>
    </xdr:to>
    <xdr:cxnSp macro="">
      <xdr:nvCxnSpPr>
        <xdr:cNvPr id="780" name="OpenSolver36">
          <a:extLst>
            <a:ext uri="{FF2B5EF4-FFF2-40B4-BE49-F238E27FC236}">
              <a16:creationId xmlns:a16="http://schemas.microsoft.com/office/drawing/2014/main" id="{00000000-0008-0000-0100-00000C030000}"/>
            </a:ext>
          </a:extLst>
        </xdr:cNvPr>
        <xdr:cNvCxnSpPr>
          <a:stCxn id="778" idx="2"/>
          <a:endCxn id="779" idx="0"/>
        </xdr:cNvCxnSpPr>
      </xdr:nvCxnSpPr>
      <xdr:spPr>
        <a:xfrm>
          <a:off x="23355300" y="60298013"/>
          <a:ext cx="6350" cy="127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316</xdr:row>
      <xdr:rowOff>65088</xdr:rowOff>
    </xdr:from>
    <xdr:to>
      <xdr:col>27</xdr:col>
      <xdr:colOff>174625</xdr:colOff>
      <xdr:row>317</xdr:row>
      <xdr:rowOff>133350</xdr:rowOff>
    </xdr:to>
    <xdr:sp macro="" textlink="">
      <xdr:nvSpPr>
        <xdr:cNvPr id="781" name="OpenSolver37">
          <a:extLst>
            <a:ext uri="{FF2B5EF4-FFF2-40B4-BE49-F238E27FC236}">
              <a16:creationId xmlns:a16="http://schemas.microsoft.com/office/drawing/2014/main" id="{00000000-0008-0000-0100-00000D030000}"/>
            </a:ext>
          </a:extLst>
        </xdr:cNvPr>
        <xdr:cNvSpPr/>
      </xdr:nvSpPr>
      <xdr:spPr>
        <a:xfrm>
          <a:off x="23167975" y="601773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315</xdr:row>
      <xdr:rowOff>0</xdr:rowOff>
    </xdr:from>
    <xdr:to>
      <xdr:col>31</xdr:col>
      <xdr:colOff>0</xdr:colOff>
      <xdr:row>316</xdr:row>
      <xdr:rowOff>0</xdr:rowOff>
    </xdr:to>
    <xdr:sp macro="" textlink="">
      <xdr:nvSpPr>
        <xdr:cNvPr id="782" name="OpenSolver38">
          <a:extLst>
            <a:ext uri="{FF2B5EF4-FFF2-40B4-BE49-F238E27FC236}">
              <a16:creationId xmlns:a16="http://schemas.microsoft.com/office/drawing/2014/main" id="{00000000-0008-0000-0100-00000E030000}"/>
            </a:ext>
          </a:extLst>
        </xdr:cNvPr>
        <xdr:cNvSpPr/>
      </xdr:nvSpPr>
      <xdr:spPr>
        <a:xfrm>
          <a:off x="19869150" y="59926538"/>
          <a:ext cx="6972300" cy="185737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23</xdr:col>
      <xdr:colOff>25400</xdr:colOff>
      <xdr:row>317</xdr:row>
      <xdr:rowOff>25400</xdr:rowOff>
    </xdr:from>
    <xdr:to>
      <xdr:col>31</xdr:col>
      <xdr:colOff>0</xdr:colOff>
      <xdr:row>318</xdr:row>
      <xdr:rowOff>0</xdr:rowOff>
    </xdr:to>
    <xdr:sp macro="" textlink="">
      <xdr:nvSpPr>
        <xdr:cNvPr id="783" name="OpenSolver39">
          <a:extLst>
            <a:ext uri="{FF2B5EF4-FFF2-40B4-BE49-F238E27FC236}">
              <a16:creationId xmlns:a16="http://schemas.microsoft.com/office/drawing/2014/main" id="{00000000-0008-0000-0100-00000F030000}"/>
            </a:ext>
          </a:extLst>
        </xdr:cNvPr>
        <xdr:cNvSpPr/>
      </xdr:nvSpPr>
      <xdr:spPr>
        <a:xfrm>
          <a:off x="19894550" y="60323413"/>
          <a:ext cx="6946900" cy="1555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316</xdr:row>
      <xdr:rowOff>0</xdr:rowOff>
    </xdr:from>
    <xdr:to>
      <xdr:col>26</xdr:col>
      <xdr:colOff>860425</xdr:colOff>
      <xdr:row>317</xdr:row>
      <xdr:rowOff>25400</xdr:rowOff>
    </xdr:to>
    <xdr:cxnSp macro="">
      <xdr:nvCxnSpPr>
        <xdr:cNvPr id="784" name="OpenSolver40">
          <a:extLst>
            <a:ext uri="{FF2B5EF4-FFF2-40B4-BE49-F238E27FC236}">
              <a16:creationId xmlns:a16="http://schemas.microsoft.com/office/drawing/2014/main" id="{00000000-0008-0000-0100-000010030000}"/>
            </a:ext>
          </a:extLst>
        </xdr:cNvPr>
        <xdr:cNvCxnSpPr>
          <a:stCxn id="782" idx="2"/>
          <a:endCxn id="783" idx="0"/>
        </xdr:cNvCxnSpPr>
      </xdr:nvCxnSpPr>
      <xdr:spPr>
        <a:xfrm>
          <a:off x="23355300" y="60112275"/>
          <a:ext cx="12700" cy="211138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315</xdr:row>
      <xdr:rowOff>164306</xdr:rowOff>
    </xdr:from>
    <xdr:to>
      <xdr:col>27</xdr:col>
      <xdr:colOff>177800</xdr:colOff>
      <xdr:row>317</xdr:row>
      <xdr:rowOff>46831</xdr:rowOff>
    </xdr:to>
    <xdr:sp macro="" textlink="">
      <xdr:nvSpPr>
        <xdr:cNvPr id="785" name="OpenSolver41">
          <a:extLst>
            <a:ext uri="{FF2B5EF4-FFF2-40B4-BE49-F238E27FC236}">
              <a16:creationId xmlns:a16="http://schemas.microsoft.com/office/drawing/2014/main" id="{00000000-0008-0000-0100-000011030000}"/>
            </a:ext>
          </a:extLst>
        </xdr:cNvPr>
        <xdr:cNvSpPr/>
      </xdr:nvSpPr>
      <xdr:spPr>
        <a:xfrm>
          <a:off x="23171150" y="60090844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313</xdr:row>
      <xdr:rowOff>0</xdr:rowOff>
    </xdr:from>
    <xdr:to>
      <xdr:col>31</xdr:col>
      <xdr:colOff>0</xdr:colOff>
      <xdr:row>314</xdr:row>
      <xdr:rowOff>0</xdr:rowOff>
    </xdr:to>
    <xdr:sp macro="" textlink="">
      <xdr:nvSpPr>
        <xdr:cNvPr id="786" name="OpenSolver42">
          <a:extLst>
            <a:ext uri="{FF2B5EF4-FFF2-40B4-BE49-F238E27FC236}">
              <a16:creationId xmlns:a16="http://schemas.microsoft.com/office/drawing/2014/main" id="{00000000-0008-0000-0100-000012030000}"/>
            </a:ext>
          </a:extLst>
        </xdr:cNvPr>
        <xdr:cNvSpPr/>
      </xdr:nvSpPr>
      <xdr:spPr>
        <a:xfrm>
          <a:off x="19869150" y="59555063"/>
          <a:ext cx="6972300" cy="185737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23</xdr:col>
      <xdr:colOff>12700</xdr:colOff>
      <xdr:row>314</xdr:row>
      <xdr:rowOff>12700</xdr:rowOff>
    </xdr:from>
    <xdr:to>
      <xdr:col>31</xdr:col>
      <xdr:colOff>0</xdr:colOff>
      <xdr:row>315</xdr:row>
      <xdr:rowOff>0</xdr:rowOff>
    </xdr:to>
    <xdr:sp macro="" textlink="">
      <xdr:nvSpPr>
        <xdr:cNvPr id="787" name="OpenSolver43">
          <a:extLst>
            <a:ext uri="{FF2B5EF4-FFF2-40B4-BE49-F238E27FC236}">
              <a16:creationId xmlns:a16="http://schemas.microsoft.com/office/drawing/2014/main" id="{00000000-0008-0000-0100-000013030000}"/>
            </a:ext>
          </a:extLst>
        </xdr:cNvPr>
        <xdr:cNvSpPr/>
      </xdr:nvSpPr>
      <xdr:spPr>
        <a:xfrm>
          <a:off x="19881850" y="59753500"/>
          <a:ext cx="6959600" cy="173038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314</xdr:row>
      <xdr:rowOff>0</xdr:rowOff>
    </xdr:from>
    <xdr:to>
      <xdr:col>26</xdr:col>
      <xdr:colOff>854075</xdr:colOff>
      <xdr:row>314</xdr:row>
      <xdr:rowOff>12700</xdr:rowOff>
    </xdr:to>
    <xdr:cxnSp macro="">
      <xdr:nvCxnSpPr>
        <xdr:cNvPr id="788" name="OpenSolver44">
          <a:extLst>
            <a:ext uri="{FF2B5EF4-FFF2-40B4-BE49-F238E27FC236}">
              <a16:creationId xmlns:a16="http://schemas.microsoft.com/office/drawing/2014/main" id="{00000000-0008-0000-0100-000014030000}"/>
            </a:ext>
          </a:extLst>
        </xdr:cNvPr>
        <xdr:cNvCxnSpPr>
          <a:stCxn id="786" idx="2"/>
          <a:endCxn id="787" idx="0"/>
        </xdr:cNvCxnSpPr>
      </xdr:nvCxnSpPr>
      <xdr:spPr>
        <a:xfrm>
          <a:off x="23355300" y="59740800"/>
          <a:ext cx="6350" cy="127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313</xdr:row>
      <xdr:rowOff>65087</xdr:rowOff>
    </xdr:from>
    <xdr:to>
      <xdr:col>27</xdr:col>
      <xdr:colOff>174625</xdr:colOff>
      <xdr:row>314</xdr:row>
      <xdr:rowOff>133350</xdr:rowOff>
    </xdr:to>
    <xdr:sp macro="" textlink="">
      <xdr:nvSpPr>
        <xdr:cNvPr id="789" name="OpenSolver45">
          <a:extLst>
            <a:ext uri="{FF2B5EF4-FFF2-40B4-BE49-F238E27FC236}">
              <a16:creationId xmlns:a16="http://schemas.microsoft.com/office/drawing/2014/main" id="{00000000-0008-0000-0100-000015030000}"/>
            </a:ext>
          </a:extLst>
        </xdr:cNvPr>
        <xdr:cNvSpPr/>
      </xdr:nvSpPr>
      <xdr:spPr>
        <a:xfrm>
          <a:off x="23167975" y="596201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312</xdr:row>
      <xdr:rowOff>0</xdr:rowOff>
    </xdr:from>
    <xdr:to>
      <xdr:col>31</xdr:col>
      <xdr:colOff>0</xdr:colOff>
      <xdr:row>313</xdr:row>
      <xdr:rowOff>0</xdr:rowOff>
    </xdr:to>
    <xdr:sp macro="" textlink="">
      <xdr:nvSpPr>
        <xdr:cNvPr id="790" name="OpenSolver46">
          <a:extLst>
            <a:ext uri="{FF2B5EF4-FFF2-40B4-BE49-F238E27FC236}">
              <a16:creationId xmlns:a16="http://schemas.microsoft.com/office/drawing/2014/main" id="{00000000-0008-0000-0100-000016030000}"/>
            </a:ext>
          </a:extLst>
        </xdr:cNvPr>
        <xdr:cNvSpPr/>
      </xdr:nvSpPr>
      <xdr:spPr>
        <a:xfrm>
          <a:off x="19869150" y="59369325"/>
          <a:ext cx="6972300" cy="185738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23</xdr:col>
      <xdr:colOff>25400</xdr:colOff>
      <xdr:row>314</xdr:row>
      <xdr:rowOff>25400</xdr:rowOff>
    </xdr:from>
    <xdr:to>
      <xdr:col>31</xdr:col>
      <xdr:colOff>0</xdr:colOff>
      <xdr:row>315</xdr:row>
      <xdr:rowOff>0</xdr:rowOff>
    </xdr:to>
    <xdr:sp macro="" textlink="">
      <xdr:nvSpPr>
        <xdr:cNvPr id="791" name="OpenSolver47">
          <a:extLst>
            <a:ext uri="{FF2B5EF4-FFF2-40B4-BE49-F238E27FC236}">
              <a16:creationId xmlns:a16="http://schemas.microsoft.com/office/drawing/2014/main" id="{00000000-0008-0000-0100-000017030000}"/>
            </a:ext>
          </a:extLst>
        </xdr:cNvPr>
        <xdr:cNvSpPr/>
      </xdr:nvSpPr>
      <xdr:spPr>
        <a:xfrm>
          <a:off x="19894550" y="59766200"/>
          <a:ext cx="6946900" cy="160338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313</xdr:row>
      <xdr:rowOff>0</xdr:rowOff>
    </xdr:from>
    <xdr:to>
      <xdr:col>26</xdr:col>
      <xdr:colOff>860425</xdr:colOff>
      <xdr:row>314</xdr:row>
      <xdr:rowOff>25400</xdr:rowOff>
    </xdr:to>
    <xdr:cxnSp macro="">
      <xdr:nvCxnSpPr>
        <xdr:cNvPr id="792" name="OpenSolver48">
          <a:extLst>
            <a:ext uri="{FF2B5EF4-FFF2-40B4-BE49-F238E27FC236}">
              <a16:creationId xmlns:a16="http://schemas.microsoft.com/office/drawing/2014/main" id="{00000000-0008-0000-0100-000018030000}"/>
            </a:ext>
          </a:extLst>
        </xdr:cNvPr>
        <xdr:cNvCxnSpPr>
          <a:stCxn id="790" idx="2"/>
          <a:endCxn id="791" idx="0"/>
        </xdr:cNvCxnSpPr>
      </xdr:nvCxnSpPr>
      <xdr:spPr>
        <a:xfrm>
          <a:off x="23355300" y="59555063"/>
          <a:ext cx="12700" cy="21113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312</xdr:row>
      <xdr:rowOff>164306</xdr:rowOff>
    </xdr:from>
    <xdr:to>
      <xdr:col>27</xdr:col>
      <xdr:colOff>177800</xdr:colOff>
      <xdr:row>314</xdr:row>
      <xdr:rowOff>46831</xdr:rowOff>
    </xdr:to>
    <xdr:sp macro="" textlink="">
      <xdr:nvSpPr>
        <xdr:cNvPr id="793" name="OpenSolver49">
          <a:extLst>
            <a:ext uri="{FF2B5EF4-FFF2-40B4-BE49-F238E27FC236}">
              <a16:creationId xmlns:a16="http://schemas.microsoft.com/office/drawing/2014/main" id="{00000000-0008-0000-0100-000019030000}"/>
            </a:ext>
          </a:extLst>
        </xdr:cNvPr>
        <xdr:cNvSpPr/>
      </xdr:nvSpPr>
      <xdr:spPr>
        <a:xfrm>
          <a:off x="23171150" y="59533631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310</xdr:row>
      <xdr:rowOff>0</xdr:rowOff>
    </xdr:from>
    <xdr:to>
      <xdr:col>31</xdr:col>
      <xdr:colOff>0</xdr:colOff>
      <xdr:row>311</xdr:row>
      <xdr:rowOff>0</xdr:rowOff>
    </xdr:to>
    <xdr:sp macro="" textlink="">
      <xdr:nvSpPr>
        <xdr:cNvPr id="794" name="OpenSolver50">
          <a:extLst>
            <a:ext uri="{FF2B5EF4-FFF2-40B4-BE49-F238E27FC236}">
              <a16:creationId xmlns:a16="http://schemas.microsoft.com/office/drawing/2014/main" id="{00000000-0008-0000-0100-00001A030000}"/>
            </a:ext>
          </a:extLst>
        </xdr:cNvPr>
        <xdr:cNvSpPr/>
      </xdr:nvSpPr>
      <xdr:spPr>
        <a:xfrm>
          <a:off x="19869150" y="58997850"/>
          <a:ext cx="6972300" cy="185738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12700</xdr:colOff>
      <xdr:row>311</xdr:row>
      <xdr:rowOff>12700</xdr:rowOff>
    </xdr:from>
    <xdr:to>
      <xdr:col>31</xdr:col>
      <xdr:colOff>0</xdr:colOff>
      <xdr:row>312</xdr:row>
      <xdr:rowOff>0</xdr:rowOff>
    </xdr:to>
    <xdr:sp macro="" textlink="">
      <xdr:nvSpPr>
        <xdr:cNvPr id="795" name="OpenSolver51">
          <a:extLst>
            <a:ext uri="{FF2B5EF4-FFF2-40B4-BE49-F238E27FC236}">
              <a16:creationId xmlns:a16="http://schemas.microsoft.com/office/drawing/2014/main" id="{00000000-0008-0000-0100-00001B030000}"/>
            </a:ext>
          </a:extLst>
        </xdr:cNvPr>
        <xdr:cNvSpPr/>
      </xdr:nvSpPr>
      <xdr:spPr>
        <a:xfrm>
          <a:off x="19881850" y="59196288"/>
          <a:ext cx="6959600" cy="173037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311</xdr:row>
      <xdr:rowOff>0</xdr:rowOff>
    </xdr:from>
    <xdr:to>
      <xdr:col>26</xdr:col>
      <xdr:colOff>854075</xdr:colOff>
      <xdr:row>311</xdr:row>
      <xdr:rowOff>12700</xdr:rowOff>
    </xdr:to>
    <xdr:cxnSp macro="">
      <xdr:nvCxnSpPr>
        <xdr:cNvPr id="796" name="OpenSolver52">
          <a:extLst>
            <a:ext uri="{FF2B5EF4-FFF2-40B4-BE49-F238E27FC236}">
              <a16:creationId xmlns:a16="http://schemas.microsoft.com/office/drawing/2014/main" id="{00000000-0008-0000-0100-00001C030000}"/>
            </a:ext>
          </a:extLst>
        </xdr:cNvPr>
        <xdr:cNvCxnSpPr>
          <a:stCxn id="794" idx="2"/>
          <a:endCxn id="795" idx="0"/>
        </xdr:cNvCxnSpPr>
      </xdr:nvCxnSpPr>
      <xdr:spPr>
        <a:xfrm>
          <a:off x="23355300" y="59183588"/>
          <a:ext cx="6350" cy="127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310</xdr:row>
      <xdr:rowOff>65088</xdr:rowOff>
    </xdr:from>
    <xdr:to>
      <xdr:col>27</xdr:col>
      <xdr:colOff>174625</xdr:colOff>
      <xdr:row>311</xdr:row>
      <xdr:rowOff>133350</xdr:rowOff>
    </xdr:to>
    <xdr:sp macro="" textlink="">
      <xdr:nvSpPr>
        <xdr:cNvPr id="797" name="OpenSolver53">
          <a:extLst>
            <a:ext uri="{FF2B5EF4-FFF2-40B4-BE49-F238E27FC236}">
              <a16:creationId xmlns:a16="http://schemas.microsoft.com/office/drawing/2014/main" id="{00000000-0008-0000-0100-00001D030000}"/>
            </a:ext>
          </a:extLst>
        </xdr:cNvPr>
        <xdr:cNvSpPr/>
      </xdr:nvSpPr>
      <xdr:spPr>
        <a:xfrm>
          <a:off x="23167975" y="5906293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309</xdr:row>
      <xdr:rowOff>0</xdr:rowOff>
    </xdr:from>
    <xdr:to>
      <xdr:col>31</xdr:col>
      <xdr:colOff>0</xdr:colOff>
      <xdr:row>310</xdr:row>
      <xdr:rowOff>0</xdr:rowOff>
    </xdr:to>
    <xdr:sp macro="" textlink="">
      <xdr:nvSpPr>
        <xdr:cNvPr id="798" name="OpenSolver54">
          <a:extLst>
            <a:ext uri="{FF2B5EF4-FFF2-40B4-BE49-F238E27FC236}">
              <a16:creationId xmlns:a16="http://schemas.microsoft.com/office/drawing/2014/main" id="{00000000-0008-0000-0100-00001E030000}"/>
            </a:ext>
          </a:extLst>
        </xdr:cNvPr>
        <xdr:cNvSpPr/>
      </xdr:nvSpPr>
      <xdr:spPr>
        <a:xfrm>
          <a:off x="19869150" y="58812113"/>
          <a:ext cx="6972300" cy="185737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23</xdr:col>
      <xdr:colOff>25400</xdr:colOff>
      <xdr:row>311</xdr:row>
      <xdr:rowOff>25400</xdr:rowOff>
    </xdr:from>
    <xdr:to>
      <xdr:col>31</xdr:col>
      <xdr:colOff>0</xdr:colOff>
      <xdr:row>312</xdr:row>
      <xdr:rowOff>0</xdr:rowOff>
    </xdr:to>
    <xdr:sp macro="" textlink="">
      <xdr:nvSpPr>
        <xdr:cNvPr id="799" name="OpenSolver55">
          <a:extLst>
            <a:ext uri="{FF2B5EF4-FFF2-40B4-BE49-F238E27FC236}">
              <a16:creationId xmlns:a16="http://schemas.microsoft.com/office/drawing/2014/main" id="{00000000-0008-0000-0100-00001F030000}"/>
            </a:ext>
          </a:extLst>
        </xdr:cNvPr>
        <xdr:cNvSpPr/>
      </xdr:nvSpPr>
      <xdr:spPr>
        <a:xfrm>
          <a:off x="19894550" y="59208988"/>
          <a:ext cx="6946900" cy="160337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310</xdr:row>
      <xdr:rowOff>0</xdr:rowOff>
    </xdr:from>
    <xdr:to>
      <xdr:col>26</xdr:col>
      <xdr:colOff>860425</xdr:colOff>
      <xdr:row>311</xdr:row>
      <xdr:rowOff>25400</xdr:rowOff>
    </xdr:to>
    <xdr:cxnSp macro="">
      <xdr:nvCxnSpPr>
        <xdr:cNvPr id="800" name="OpenSolver56">
          <a:extLst>
            <a:ext uri="{FF2B5EF4-FFF2-40B4-BE49-F238E27FC236}">
              <a16:creationId xmlns:a16="http://schemas.microsoft.com/office/drawing/2014/main" id="{00000000-0008-0000-0100-000020030000}"/>
            </a:ext>
          </a:extLst>
        </xdr:cNvPr>
        <xdr:cNvCxnSpPr>
          <a:stCxn id="798" idx="2"/>
          <a:endCxn id="799" idx="0"/>
        </xdr:cNvCxnSpPr>
      </xdr:nvCxnSpPr>
      <xdr:spPr>
        <a:xfrm>
          <a:off x="23355300" y="58997850"/>
          <a:ext cx="12700" cy="211138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309</xdr:row>
      <xdr:rowOff>164306</xdr:rowOff>
    </xdr:from>
    <xdr:to>
      <xdr:col>27</xdr:col>
      <xdr:colOff>177800</xdr:colOff>
      <xdr:row>311</xdr:row>
      <xdr:rowOff>46831</xdr:rowOff>
    </xdr:to>
    <xdr:sp macro="" textlink="">
      <xdr:nvSpPr>
        <xdr:cNvPr id="801" name="OpenSolver57">
          <a:extLst>
            <a:ext uri="{FF2B5EF4-FFF2-40B4-BE49-F238E27FC236}">
              <a16:creationId xmlns:a16="http://schemas.microsoft.com/office/drawing/2014/main" id="{00000000-0008-0000-0100-000021030000}"/>
            </a:ext>
          </a:extLst>
        </xdr:cNvPr>
        <xdr:cNvSpPr/>
      </xdr:nvSpPr>
      <xdr:spPr>
        <a:xfrm>
          <a:off x="23171150" y="58976419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307</xdr:row>
      <xdr:rowOff>0</xdr:rowOff>
    </xdr:from>
    <xdr:to>
      <xdr:col>31</xdr:col>
      <xdr:colOff>0</xdr:colOff>
      <xdr:row>308</xdr:row>
      <xdr:rowOff>0</xdr:rowOff>
    </xdr:to>
    <xdr:sp macro="" textlink="">
      <xdr:nvSpPr>
        <xdr:cNvPr id="802" name="OpenSolver58">
          <a:extLst>
            <a:ext uri="{FF2B5EF4-FFF2-40B4-BE49-F238E27FC236}">
              <a16:creationId xmlns:a16="http://schemas.microsoft.com/office/drawing/2014/main" id="{00000000-0008-0000-0100-000022030000}"/>
            </a:ext>
          </a:extLst>
        </xdr:cNvPr>
        <xdr:cNvSpPr/>
      </xdr:nvSpPr>
      <xdr:spPr>
        <a:xfrm>
          <a:off x="19869150" y="58440638"/>
          <a:ext cx="6972300" cy="185737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23</xdr:col>
      <xdr:colOff>12700</xdr:colOff>
      <xdr:row>308</xdr:row>
      <xdr:rowOff>12700</xdr:rowOff>
    </xdr:from>
    <xdr:to>
      <xdr:col>31</xdr:col>
      <xdr:colOff>0</xdr:colOff>
      <xdr:row>309</xdr:row>
      <xdr:rowOff>0</xdr:rowOff>
    </xdr:to>
    <xdr:sp macro="" textlink="">
      <xdr:nvSpPr>
        <xdr:cNvPr id="803" name="OpenSolver59">
          <a:extLst>
            <a:ext uri="{FF2B5EF4-FFF2-40B4-BE49-F238E27FC236}">
              <a16:creationId xmlns:a16="http://schemas.microsoft.com/office/drawing/2014/main" id="{00000000-0008-0000-0100-000023030000}"/>
            </a:ext>
          </a:extLst>
        </xdr:cNvPr>
        <xdr:cNvSpPr/>
      </xdr:nvSpPr>
      <xdr:spPr>
        <a:xfrm>
          <a:off x="19881850" y="58639075"/>
          <a:ext cx="6959600" cy="173038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308</xdr:row>
      <xdr:rowOff>0</xdr:rowOff>
    </xdr:from>
    <xdr:to>
      <xdr:col>26</xdr:col>
      <xdr:colOff>854075</xdr:colOff>
      <xdr:row>308</xdr:row>
      <xdr:rowOff>12700</xdr:rowOff>
    </xdr:to>
    <xdr:cxnSp macro="">
      <xdr:nvCxnSpPr>
        <xdr:cNvPr id="804" name="OpenSolver60">
          <a:extLst>
            <a:ext uri="{FF2B5EF4-FFF2-40B4-BE49-F238E27FC236}">
              <a16:creationId xmlns:a16="http://schemas.microsoft.com/office/drawing/2014/main" id="{00000000-0008-0000-0100-000024030000}"/>
            </a:ext>
          </a:extLst>
        </xdr:cNvPr>
        <xdr:cNvCxnSpPr>
          <a:stCxn id="802" idx="2"/>
          <a:endCxn id="803" idx="0"/>
        </xdr:cNvCxnSpPr>
      </xdr:nvCxnSpPr>
      <xdr:spPr>
        <a:xfrm>
          <a:off x="23355300" y="58626375"/>
          <a:ext cx="6350" cy="127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307</xdr:row>
      <xdr:rowOff>65087</xdr:rowOff>
    </xdr:from>
    <xdr:to>
      <xdr:col>27</xdr:col>
      <xdr:colOff>174625</xdr:colOff>
      <xdr:row>308</xdr:row>
      <xdr:rowOff>133350</xdr:rowOff>
    </xdr:to>
    <xdr:sp macro="" textlink="">
      <xdr:nvSpPr>
        <xdr:cNvPr id="805" name="OpenSolver61">
          <a:extLst>
            <a:ext uri="{FF2B5EF4-FFF2-40B4-BE49-F238E27FC236}">
              <a16:creationId xmlns:a16="http://schemas.microsoft.com/office/drawing/2014/main" id="{00000000-0008-0000-0100-000025030000}"/>
            </a:ext>
          </a:extLst>
        </xdr:cNvPr>
        <xdr:cNvSpPr/>
      </xdr:nvSpPr>
      <xdr:spPr>
        <a:xfrm>
          <a:off x="23167975" y="585057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306</xdr:row>
      <xdr:rowOff>0</xdr:rowOff>
    </xdr:from>
    <xdr:to>
      <xdr:col>31</xdr:col>
      <xdr:colOff>0</xdr:colOff>
      <xdr:row>307</xdr:row>
      <xdr:rowOff>0</xdr:rowOff>
    </xdr:to>
    <xdr:sp macro="" textlink="">
      <xdr:nvSpPr>
        <xdr:cNvPr id="806" name="OpenSolver62">
          <a:extLst>
            <a:ext uri="{FF2B5EF4-FFF2-40B4-BE49-F238E27FC236}">
              <a16:creationId xmlns:a16="http://schemas.microsoft.com/office/drawing/2014/main" id="{00000000-0008-0000-0100-000026030000}"/>
            </a:ext>
          </a:extLst>
        </xdr:cNvPr>
        <xdr:cNvSpPr/>
      </xdr:nvSpPr>
      <xdr:spPr>
        <a:xfrm>
          <a:off x="19869150" y="58254900"/>
          <a:ext cx="6972300" cy="185738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23</xdr:col>
      <xdr:colOff>25400</xdr:colOff>
      <xdr:row>308</xdr:row>
      <xdr:rowOff>25400</xdr:rowOff>
    </xdr:from>
    <xdr:to>
      <xdr:col>31</xdr:col>
      <xdr:colOff>0</xdr:colOff>
      <xdr:row>309</xdr:row>
      <xdr:rowOff>0</xdr:rowOff>
    </xdr:to>
    <xdr:sp macro="" textlink="">
      <xdr:nvSpPr>
        <xdr:cNvPr id="807" name="OpenSolver63">
          <a:extLst>
            <a:ext uri="{FF2B5EF4-FFF2-40B4-BE49-F238E27FC236}">
              <a16:creationId xmlns:a16="http://schemas.microsoft.com/office/drawing/2014/main" id="{00000000-0008-0000-0100-000027030000}"/>
            </a:ext>
          </a:extLst>
        </xdr:cNvPr>
        <xdr:cNvSpPr/>
      </xdr:nvSpPr>
      <xdr:spPr>
        <a:xfrm>
          <a:off x="19894550" y="58651775"/>
          <a:ext cx="6946900" cy="160338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307</xdr:row>
      <xdr:rowOff>0</xdr:rowOff>
    </xdr:from>
    <xdr:to>
      <xdr:col>26</xdr:col>
      <xdr:colOff>860425</xdr:colOff>
      <xdr:row>308</xdr:row>
      <xdr:rowOff>25400</xdr:rowOff>
    </xdr:to>
    <xdr:cxnSp macro="">
      <xdr:nvCxnSpPr>
        <xdr:cNvPr id="808" name="OpenSolver64">
          <a:extLst>
            <a:ext uri="{FF2B5EF4-FFF2-40B4-BE49-F238E27FC236}">
              <a16:creationId xmlns:a16="http://schemas.microsoft.com/office/drawing/2014/main" id="{00000000-0008-0000-0100-000028030000}"/>
            </a:ext>
          </a:extLst>
        </xdr:cNvPr>
        <xdr:cNvCxnSpPr>
          <a:stCxn id="806" idx="2"/>
          <a:endCxn id="807" idx="0"/>
        </xdr:cNvCxnSpPr>
      </xdr:nvCxnSpPr>
      <xdr:spPr>
        <a:xfrm>
          <a:off x="23355300" y="58440638"/>
          <a:ext cx="12700" cy="2111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306</xdr:row>
      <xdr:rowOff>164306</xdr:rowOff>
    </xdr:from>
    <xdr:to>
      <xdr:col>27</xdr:col>
      <xdr:colOff>177800</xdr:colOff>
      <xdr:row>308</xdr:row>
      <xdr:rowOff>46831</xdr:rowOff>
    </xdr:to>
    <xdr:sp macro="" textlink="">
      <xdr:nvSpPr>
        <xdr:cNvPr id="809" name="OpenSolver65">
          <a:extLst>
            <a:ext uri="{FF2B5EF4-FFF2-40B4-BE49-F238E27FC236}">
              <a16:creationId xmlns:a16="http://schemas.microsoft.com/office/drawing/2014/main" id="{00000000-0008-0000-0100-000029030000}"/>
            </a:ext>
          </a:extLst>
        </xdr:cNvPr>
        <xdr:cNvSpPr/>
      </xdr:nvSpPr>
      <xdr:spPr>
        <a:xfrm>
          <a:off x="23171150" y="58419206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304</xdr:row>
      <xdr:rowOff>0</xdr:rowOff>
    </xdr:from>
    <xdr:to>
      <xdr:col>31</xdr:col>
      <xdr:colOff>0</xdr:colOff>
      <xdr:row>305</xdr:row>
      <xdr:rowOff>0</xdr:rowOff>
    </xdr:to>
    <xdr:sp macro="" textlink="">
      <xdr:nvSpPr>
        <xdr:cNvPr id="810" name="OpenSolver66">
          <a:extLst>
            <a:ext uri="{FF2B5EF4-FFF2-40B4-BE49-F238E27FC236}">
              <a16:creationId xmlns:a16="http://schemas.microsoft.com/office/drawing/2014/main" id="{00000000-0008-0000-0100-00002A030000}"/>
            </a:ext>
          </a:extLst>
        </xdr:cNvPr>
        <xdr:cNvSpPr/>
      </xdr:nvSpPr>
      <xdr:spPr>
        <a:xfrm>
          <a:off x="19869150" y="57883425"/>
          <a:ext cx="6972300" cy="185738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23</xdr:col>
      <xdr:colOff>12700</xdr:colOff>
      <xdr:row>305</xdr:row>
      <xdr:rowOff>12700</xdr:rowOff>
    </xdr:from>
    <xdr:to>
      <xdr:col>31</xdr:col>
      <xdr:colOff>0</xdr:colOff>
      <xdr:row>306</xdr:row>
      <xdr:rowOff>0</xdr:rowOff>
    </xdr:to>
    <xdr:sp macro="" textlink="">
      <xdr:nvSpPr>
        <xdr:cNvPr id="811" name="OpenSolver67">
          <a:extLst>
            <a:ext uri="{FF2B5EF4-FFF2-40B4-BE49-F238E27FC236}">
              <a16:creationId xmlns:a16="http://schemas.microsoft.com/office/drawing/2014/main" id="{00000000-0008-0000-0100-00002B030000}"/>
            </a:ext>
          </a:extLst>
        </xdr:cNvPr>
        <xdr:cNvSpPr/>
      </xdr:nvSpPr>
      <xdr:spPr>
        <a:xfrm>
          <a:off x="19881850" y="58081863"/>
          <a:ext cx="6959600" cy="173037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305</xdr:row>
      <xdr:rowOff>0</xdr:rowOff>
    </xdr:from>
    <xdr:to>
      <xdr:col>26</xdr:col>
      <xdr:colOff>854075</xdr:colOff>
      <xdr:row>305</xdr:row>
      <xdr:rowOff>12700</xdr:rowOff>
    </xdr:to>
    <xdr:cxnSp macro="">
      <xdr:nvCxnSpPr>
        <xdr:cNvPr id="812" name="OpenSolver68">
          <a:extLst>
            <a:ext uri="{FF2B5EF4-FFF2-40B4-BE49-F238E27FC236}">
              <a16:creationId xmlns:a16="http://schemas.microsoft.com/office/drawing/2014/main" id="{00000000-0008-0000-0100-00002C030000}"/>
            </a:ext>
          </a:extLst>
        </xdr:cNvPr>
        <xdr:cNvCxnSpPr>
          <a:stCxn id="810" idx="2"/>
          <a:endCxn id="811" idx="0"/>
        </xdr:cNvCxnSpPr>
      </xdr:nvCxnSpPr>
      <xdr:spPr>
        <a:xfrm>
          <a:off x="23355300" y="58069163"/>
          <a:ext cx="6350" cy="127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304</xdr:row>
      <xdr:rowOff>65088</xdr:rowOff>
    </xdr:from>
    <xdr:to>
      <xdr:col>27</xdr:col>
      <xdr:colOff>174625</xdr:colOff>
      <xdr:row>305</xdr:row>
      <xdr:rowOff>133350</xdr:rowOff>
    </xdr:to>
    <xdr:sp macro="" textlink="">
      <xdr:nvSpPr>
        <xdr:cNvPr id="813" name="OpenSolver69">
          <a:extLst>
            <a:ext uri="{FF2B5EF4-FFF2-40B4-BE49-F238E27FC236}">
              <a16:creationId xmlns:a16="http://schemas.microsoft.com/office/drawing/2014/main" id="{00000000-0008-0000-0100-00002D030000}"/>
            </a:ext>
          </a:extLst>
        </xdr:cNvPr>
        <xdr:cNvSpPr/>
      </xdr:nvSpPr>
      <xdr:spPr>
        <a:xfrm>
          <a:off x="23167975" y="5794851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303</xdr:row>
      <xdr:rowOff>0</xdr:rowOff>
    </xdr:from>
    <xdr:to>
      <xdr:col>31</xdr:col>
      <xdr:colOff>0</xdr:colOff>
      <xdr:row>304</xdr:row>
      <xdr:rowOff>0</xdr:rowOff>
    </xdr:to>
    <xdr:sp macro="" textlink="">
      <xdr:nvSpPr>
        <xdr:cNvPr id="814" name="OpenSolver70">
          <a:extLst>
            <a:ext uri="{FF2B5EF4-FFF2-40B4-BE49-F238E27FC236}">
              <a16:creationId xmlns:a16="http://schemas.microsoft.com/office/drawing/2014/main" id="{00000000-0008-0000-0100-00002E030000}"/>
            </a:ext>
          </a:extLst>
        </xdr:cNvPr>
        <xdr:cNvSpPr/>
      </xdr:nvSpPr>
      <xdr:spPr>
        <a:xfrm>
          <a:off x="19869150" y="57697688"/>
          <a:ext cx="6972300" cy="185737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23</xdr:col>
      <xdr:colOff>25400</xdr:colOff>
      <xdr:row>305</xdr:row>
      <xdr:rowOff>25400</xdr:rowOff>
    </xdr:from>
    <xdr:to>
      <xdr:col>31</xdr:col>
      <xdr:colOff>0</xdr:colOff>
      <xdr:row>306</xdr:row>
      <xdr:rowOff>0</xdr:rowOff>
    </xdr:to>
    <xdr:sp macro="" textlink="">
      <xdr:nvSpPr>
        <xdr:cNvPr id="815" name="OpenSolver71">
          <a:extLst>
            <a:ext uri="{FF2B5EF4-FFF2-40B4-BE49-F238E27FC236}">
              <a16:creationId xmlns:a16="http://schemas.microsoft.com/office/drawing/2014/main" id="{00000000-0008-0000-0100-00002F030000}"/>
            </a:ext>
          </a:extLst>
        </xdr:cNvPr>
        <xdr:cNvSpPr/>
      </xdr:nvSpPr>
      <xdr:spPr>
        <a:xfrm>
          <a:off x="19894550" y="58094563"/>
          <a:ext cx="6946900" cy="160337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304</xdr:row>
      <xdr:rowOff>0</xdr:rowOff>
    </xdr:from>
    <xdr:to>
      <xdr:col>26</xdr:col>
      <xdr:colOff>860425</xdr:colOff>
      <xdr:row>305</xdr:row>
      <xdr:rowOff>25400</xdr:rowOff>
    </xdr:to>
    <xdr:cxnSp macro="">
      <xdr:nvCxnSpPr>
        <xdr:cNvPr id="816" name="OpenSolver72">
          <a:extLst>
            <a:ext uri="{FF2B5EF4-FFF2-40B4-BE49-F238E27FC236}">
              <a16:creationId xmlns:a16="http://schemas.microsoft.com/office/drawing/2014/main" id="{00000000-0008-0000-0100-000030030000}"/>
            </a:ext>
          </a:extLst>
        </xdr:cNvPr>
        <xdr:cNvCxnSpPr>
          <a:stCxn id="814" idx="2"/>
          <a:endCxn id="815" idx="0"/>
        </xdr:cNvCxnSpPr>
      </xdr:nvCxnSpPr>
      <xdr:spPr>
        <a:xfrm>
          <a:off x="23355300" y="57883425"/>
          <a:ext cx="12700" cy="211138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303</xdr:row>
      <xdr:rowOff>164306</xdr:rowOff>
    </xdr:from>
    <xdr:to>
      <xdr:col>27</xdr:col>
      <xdr:colOff>177800</xdr:colOff>
      <xdr:row>305</xdr:row>
      <xdr:rowOff>46831</xdr:rowOff>
    </xdr:to>
    <xdr:sp macro="" textlink="">
      <xdr:nvSpPr>
        <xdr:cNvPr id="817" name="OpenSolver73">
          <a:extLst>
            <a:ext uri="{FF2B5EF4-FFF2-40B4-BE49-F238E27FC236}">
              <a16:creationId xmlns:a16="http://schemas.microsoft.com/office/drawing/2014/main" id="{00000000-0008-0000-0100-000031030000}"/>
            </a:ext>
          </a:extLst>
        </xdr:cNvPr>
        <xdr:cNvSpPr/>
      </xdr:nvSpPr>
      <xdr:spPr>
        <a:xfrm>
          <a:off x="23171150" y="57861994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301</xdr:row>
      <xdr:rowOff>0</xdr:rowOff>
    </xdr:from>
    <xdr:to>
      <xdr:col>31</xdr:col>
      <xdr:colOff>0</xdr:colOff>
      <xdr:row>302</xdr:row>
      <xdr:rowOff>0</xdr:rowOff>
    </xdr:to>
    <xdr:sp macro="" textlink="">
      <xdr:nvSpPr>
        <xdr:cNvPr id="818" name="OpenSolver74">
          <a:extLst>
            <a:ext uri="{FF2B5EF4-FFF2-40B4-BE49-F238E27FC236}">
              <a16:creationId xmlns:a16="http://schemas.microsoft.com/office/drawing/2014/main" id="{00000000-0008-0000-0100-000032030000}"/>
            </a:ext>
          </a:extLst>
        </xdr:cNvPr>
        <xdr:cNvSpPr/>
      </xdr:nvSpPr>
      <xdr:spPr>
        <a:xfrm>
          <a:off x="19869150" y="57326213"/>
          <a:ext cx="6972300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23</xdr:col>
      <xdr:colOff>12700</xdr:colOff>
      <xdr:row>302</xdr:row>
      <xdr:rowOff>12700</xdr:rowOff>
    </xdr:from>
    <xdr:to>
      <xdr:col>31</xdr:col>
      <xdr:colOff>0</xdr:colOff>
      <xdr:row>303</xdr:row>
      <xdr:rowOff>0</xdr:rowOff>
    </xdr:to>
    <xdr:sp macro="" textlink="">
      <xdr:nvSpPr>
        <xdr:cNvPr id="819" name="OpenSolver75">
          <a:extLst>
            <a:ext uri="{FF2B5EF4-FFF2-40B4-BE49-F238E27FC236}">
              <a16:creationId xmlns:a16="http://schemas.microsoft.com/office/drawing/2014/main" id="{00000000-0008-0000-0100-000033030000}"/>
            </a:ext>
          </a:extLst>
        </xdr:cNvPr>
        <xdr:cNvSpPr/>
      </xdr:nvSpPr>
      <xdr:spPr>
        <a:xfrm>
          <a:off x="19881850" y="57524650"/>
          <a:ext cx="6959600" cy="173038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302</xdr:row>
      <xdr:rowOff>0</xdr:rowOff>
    </xdr:from>
    <xdr:to>
      <xdr:col>26</xdr:col>
      <xdr:colOff>854075</xdr:colOff>
      <xdr:row>302</xdr:row>
      <xdr:rowOff>12700</xdr:rowOff>
    </xdr:to>
    <xdr:cxnSp macro="">
      <xdr:nvCxnSpPr>
        <xdr:cNvPr id="820" name="OpenSolver76">
          <a:extLst>
            <a:ext uri="{FF2B5EF4-FFF2-40B4-BE49-F238E27FC236}">
              <a16:creationId xmlns:a16="http://schemas.microsoft.com/office/drawing/2014/main" id="{00000000-0008-0000-0100-000034030000}"/>
            </a:ext>
          </a:extLst>
        </xdr:cNvPr>
        <xdr:cNvCxnSpPr>
          <a:stCxn id="818" idx="2"/>
          <a:endCxn id="819" idx="0"/>
        </xdr:cNvCxnSpPr>
      </xdr:nvCxnSpPr>
      <xdr:spPr>
        <a:xfrm>
          <a:off x="23355300" y="57511950"/>
          <a:ext cx="63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301</xdr:row>
      <xdr:rowOff>65087</xdr:rowOff>
    </xdr:from>
    <xdr:to>
      <xdr:col>27</xdr:col>
      <xdr:colOff>174625</xdr:colOff>
      <xdr:row>302</xdr:row>
      <xdr:rowOff>133350</xdr:rowOff>
    </xdr:to>
    <xdr:sp macro="" textlink="">
      <xdr:nvSpPr>
        <xdr:cNvPr id="821" name="OpenSolver77">
          <a:extLst>
            <a:ext uri="{FF2B5EF4-FFF2-40B4-BE49-F238E27FC236}">
              <a16:creationId xmlns:a16="http://schemas.microsoft.com/office/drawing/2014/main" id="{00000000-0008-0000-0100-000035030000}"/>
            </a:ext>
          </a:extLst>
        </xdr:cNvPr>
        <xdr:cNvSpPr/>
      </xdr:nvSpPr>
      <xdr:spPr>
        <a:xfrm>
          <a:off x="23167975" y="573913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300</xdr:row>
      <xdr:rowOff>0</xdr:rowOff>
    </xdr:from>
    <xdr:to>
      <xdr:col>31</xdr:col>
      <xdr:colOff>0</xdr:colOff>
      <xdr:row>301</xdr:row>
      <xdr:rowOff>0</xdr:rowOff>
    </xdr:to>
    <xdr:sp macro="" textlink="">
      <xdr:nvSpPr>
        <xdr:cNvPr id="822" name="OpenSolver78">
          <a:extLst>
            <a:ext uri="{FF2B5EF4-FFF2-40B4-BE49-F238E27FC236}">
              <a16:creationId xmlns:a16="http://schemas.microsoft.com/office/drawing/2014/main" id="{00000000-0008-0000-0100-000036030000}"/>
            </a:ext>
          </a:extLst>
        </xdr:cNvPr>
        <xdr:cNvSpPr/>
      </xdr:nvSpPr>
      <xdr:spPr>
        <a:xfrm>
          <a:off x="19869150" y="57140475"/>
          <a:ext cx="6972300" cy="185738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25400</xdr:colOff>
      <xdr:row>302</xdr:row>
      <xdr:rowOff>25400</xdr:rowOff>
    </xdr:from>
    <xdr:to>
      <xdr:col>31</xdr:col>
      <xdr:colOff>0</xdr:colOff>
      <xdr:row>303</xdr:row>
      <xdr:rowOff>0</xdr:rowOff>
    </xdr:to>
    <xdr:sp macro="" textlink="">
      <xdr:nvSpPr>
        <xdr:cNvPr id="823" name="OpenSolver79">
          <a:extLst>
            <a:ext uri="{FF2B5EF4-FFF2-40B4-BE49-F238E27FC236}">
              <a16:creationId xmlns:a16="http://schemas.microsoft.com/office/drawing/2014/main" id="{00000000-0008-0000-0100-000037030000}"/>
            </a:ext>
          </a:extLst>
        </xdr:cNvPr>
        <xdr:cNvSpPr/>
      </xdr:nvSpPr>
      <xdr:spPr>
        <a:xfrm>
          <a:off x="19894550" y="57537350"/>
          <a:ext cx="6946900" cy="160338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301</xdr:row>
      <xdr:rowOff>0</xdr:rowOff>
    </xdr:from>
    <xdr:to>
      <xdr:col>26</xdr:col>
      <xdr:colOff>860425</xdr:colOff>
      <xdr:row>302</xdr:row>
      <xdr:rowOff>25400</xdr:rowOff>
    </xdr:to>
    <xdr:cxnSp macro="">
      <xdr:nvCxnSpPr>
        <xdr:cNvPr id="824" name="OpenSolver80">
          <a:extLst>
            <a:ext uri="{FF2B5EF4-FFF2-40B4-BE49-F238E27FC236}">
              <a16:creationId xmlns:a16="http://schemas.microsoft.com/office/drawing/2014/main" id="{00000000-0008-0000-0100-000038030000}"/>
            </a:ext>
          </a:extLst>
        </xdr:cNvPr>
        <xdr:cNvCxnSpPr>
          <a:stCxn id="822" idx="2"/>
          <a:endCxn id="823" idx="0"/>
        </xdr:cNvCxnSpPr>
      </xdr:nvCxnSpPr>
      <xdr:spPr>
        <a:xfrm>
          <a:off x="23355300" y="57326213"/>
          <a:ext cx="12700" cy="2111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300</xdr:row>
      <xdr:rowOff>164306</xdr:rowOff>
    </xdr:from>
    <xdr:to>
      <xdr:col>27</xdr:col>
      <xdr:colOff>177800</xdr:colOff>
      <xdr:row>302</xdr:row>
      <xdr:rowOff>46831</xdr:rowOff>
    </xdr:to>
    <xdr:sp macro="" textlink="">
      <xdr:nvSpPr>
        <xdr:cNvPr id="825" name="OpenSolver81">
          <a:extLst>
            <a:ext uri="{FF2B5EF4-FFF2-40B4-BE49-F238E27FC236}">
              <a16:creationId xmlns:a16="http://schemas.microsoft.com/office/drawing/2014/main" id="{00000000-0008-0000-0100-000039030000}"/>
            </a:ext>
          </a:extLst>
        </xdr:cNvPr>
        <xdr:cNvSpPr/>
      </xdr:nvSpPr>
      <xdr:spPr>
        <a:xfrm>
          <a:off x="23171150" y="57304781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298</xdr:row>
      <xdr:rowOff>0</xdr:rowOff>
    </xdr:from>
    <xdr:to>
      <xdr:col>31</xdr:col>
      <xdr:colOff>0</xdr:colOff>
      <xdr:row>299</xdr:row>
      <xdr:rowOff>0</xdr:rowOff>
    </xdr:to>
    <xdr:sp macro="" textlink="">
      <xdr:nvSpPr>
        <xdr:cNvPr id="826" name="OpenSolver82"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>
        <a:xfrm>
          <a:off x="19869150" y="56769000"/>
          <a:ext cx="6972300" cy="185738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23</xdr:col>
      <xdr:colOff>12700</xdr:colOff>
      <xdr:row>299</xdr:row>
      <xdr:rowOff>12700</xdr:rowOff>
    </xdr:from>
    <xdr:to>
      <xdr:col>31</xdr:col>
      <xdr:colOff>0</xdr:colOff>
      <xdr:row>300</xdr:row>
      <xdr:rowOff>0</xdr:rowOff>
    </xdr:to>
    <xdr:sp macro="" textlink="">
      <xdr:nvSpPr>
        <xdr:cNvPr id="827" name="OpenSolver83"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/>
      </xdr:nvSpPr>
      <xdr:spPr>
        <a:xfrm>
          <a:off x="19881850" y="56967438"/>
          <a:ext cx="6959600" cy="173037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299</xdr:row>
      <xdr:rowOff>0</xdr:rowOff>
    </xdr:from>
    <xdr:to>
      <xdr:col>26</xdr:col>
      <xdr:colOff>854075</xdr:colOff>
      <xdr:row>299</xdr:row>
      <xdr:rowOff>12700</xdr:rowOff>
    </xdr:to>
    <xdr:cxnSp macro="">
      <xdr:nvCxnSpPr>
        <xdr:cNvPr id="828" name="OpenSolver84"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CxnSpPr>
          <a:stCxn id="826" idx="2"/>
          <a:endCxn id="827" idx="0"/>
        </xdr:cNvCxnSpPr>
      </xdr:nvCxnSpPr>
      <xdr:spPr>
        <a:xfrm>
          <a:off x="23355300" y="56954738"/>
          <a:ext cx="6350" cy="127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298</xdr:row>
      <xdr:rowOff>65088</xdr:rowOff>
    </xdr:from>
    <xdr:to>
      <xdr:col>27</xdr:col>
      <xdr:colOff>174625</xdr:colOff>
      <xdr:row>299</xdr:row>
      <xdr:rowOff>133350</xdr:rowOff>
    </xdr:to>
    <xdr:sp macro="" textlink="">
      <xdr:nvSpPr>
        <xdr:cNvPr id="829" name="OpenSolver85"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/>
      </xdr:nvSpPr>
      <xdr:spPr>
        <a:xfrm>
          <a:off x="23167975" y="5683408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297</xdr:row>
      <xdr:rowOff>0</xdr:rowOff>
    </xdr:from>
    <xdr:to>
      <xdr:col>31</xdr:col>
      <xdr:colOff>0</xdr:colOff>
      <xdr:row>298</xdr:row>
      <xdr:rowOff>0</xdr:rowOff>
    </xdr:to>
    <xdr:sp macro="" textlink="">
      <xdr:nvSpPr>
        <xdr:cNvPr id="830" name="OpenSolver86"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/>
      </xdr:nvSpPr>
      <xdr:spPr>
        <a:xfrm>
          <a:off x="19869150" y="56583263"/>
          <a:ext cx="6972300" cy="185737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23</xdr:col>
      <xdr:colOff>25400</xdr:colOff>
      <xdr:row>299</xdr:row>
      <xdr:rowOff>25400</xdr:rowOff>
    </xdr:from>
    <xdr:to>
      <xdr:col>31</xdr:col>
      <xdr:colOff>0</xdr:colOff>
      <xdr:row>300</xdr:row>
      <xdr:rowOff>0</xdr:rowOff>
    </xdr:to>
    <xdr:sp macro="" textlink="">
      <xdr:nvSpPr>
        <xdr:cNvPr id="831" name="OpenSolver87">
          <a:extLs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SpPr/>
      </xdr:nvSpPr>
      <xdr:spPr>
        <a:xfrm>
          <a:off x="19894550" y="56980138"/>
          <a:ext cx="6946900" cy="160337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298</xdr:row>
      <xdr:rowOff>0</xdr:rowOff>
    </xdr:from>
    <xdr:to>
      <xdr:col>26</xdr:col>
      <xdr:colOff>860425</xdr:colOff>
      <xdr:row>299</xdr:row>
      <xdr:rowOff>25400</xdr:rowOff>
    </xdr:to>
    <xdr:cxnSp macro="">
      <xdr:nvCxnSpPr>
        <xdr:cNvPr id="832" name="OpenSolver88">
          <a:extLst>
            <a:ext uri="{FF2B5EF4-FFF2-40B4-BE49-F238E27FC236}">
              <a16:creationId xmlns:a16="http://schemas.microsoft.com/office/drawing/2014/main" id="{00000000-0008-0000-0100-000040030000}"/>
            </a:ext>
          </a:extLst>
        </xdr:cNvPr>
        <xdr:cNvCxnSpPr>
          <a:stCxn id="830" idx="2"/>
          <a:endCxn id="831" idx="0"/>
        </xdr:cNvCxnSpPr>
      </xdr:nvCxnSpPr>
      <xdr:spPr>
        <a:xfrm>
          <a:off x="23355300" y="56769000"/>
          <a:ext cx="12700" cy="211138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297</xdr:row>
      <xdr:rowOff>164306</xdr:rowOff>
    </xdr:from>
    <xdr:to>
      <xdr:col>27</xdr:col>
      <xdr:colOff>177800</xdr:colOff>
      <xdr:row>299</xdr:row>
      <xdr:rowOff>46831</xdr:rowOff>
    </xdr:to>
    <xdr:sp macro="" textlink="">
      <xdr:nvSpPr>
        <xdr:cNvPr id="833" name="OpenSolver89">
          <a:extLst>
            <a:ext uri="{FF2B5EF4-FFF2-40B4-BE49-F238E27FC236}">
              <a16:creationId xmlns:a16="http://schemas.microsoft.com/office/drawing/2014/main" id="{00000000-0008-0000-0100-000041030000}"/>
            </a:ext>
          </a:extLst>
        </xdr:cNvPr>
        <xdr:cNvSpPr/>
      </xdr:nvSpPr>
      <xdr:spPr>
        <a:xfrm>
          <a:off x="23171150" y="56747569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294</xdr:row>
      <xdr:rowOff>0</xdr:rowOff>
    </xdr:from>
    <xdr:to>
      <xdr:col>31</xdr:col>
      <xdr:colOff>0</xdr:colOff>
      <xdr:row>295</xdr:row>
      <xdr:rowOff>0</xdr:rowOff>
    </xdr:to>
    <xdr:sp macro="" textlink="">
      <xdr:nvSpPr>
        <xdr:cNvPr id="834" name="OpenSolver90">
          <a:extLst>
            <a:ext uri="{FF2B5EF4-FFF2-40B4-BE49-F238E27FC236}">
              <a16:creationId xmlns:a16="http://schemas.microsoft.com/office/drawing/2014/main" id="{00000000-0008-0000-0100-000042030000}"/>
            </a:ext>
          </a:extLst>
        </xdr:cNvPr>
        <xdr:cNvSpPr/>
      </xdr:nvSpPr>
      <xdr:spPr>
        <a:xfrm>
          <a:off x="19869150" y="56026050"/>
          <a:ext cx="6972300" cy="185738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23</xdr:col>
      <xdr:colOff>12700</xdr:colOff>
      <xdr:row>296</xdr:row>
      <xdr:rowOff>12700</xdr:rowOff>
    </xdr:from>
    <xdr:to>
      <xdr:col>31</xdr:col>
      <xdr:colOff>0</xdr:colOff>
      <xdr:row>297</xdr:row>
      <xdr:rowOff>0</xdr:rowOff>
    </xdr:to>
    <xdr:sp macro="" textlink="">
      <xdr:nvSpPr>
        <xdr:cNvPr id="835" name="OpenSolver91">
          <a:extLst>
            <a:ext uri="{FF2B5EF4-FFF2-40B4-BE49-F238E27FC236}">
              <a16:creationId xmlns:a16="http://schemas.microsoft.com/office/drawing/2014/main" id="{00000000-0008-0000-0100-000043030000}"/>
            </a:ext>
          </a:extLst>
        </xdr:cNvPr>
        <xdr:cNvSpPr/>
      </xdr:nvSpPr>
      <xdr:spPr>
        <a:xfrm>
          <a:off x="19881850" y="56410225"/>
          <a:ext cx="6959600" cy="173038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295</xdr:row>
      <xdr:rowOff>0</xdr:rowOff>
    </xdr:from>
    <xdr:to>
      <xdr:col>26</xdr:col>
      <xdr:colOff>854075</xdr:colOff>
      <xdr:row>296</xdr:row>
      <xdr:rowOff>12700</xdr:rowOff>
    </xdr:to>
    <xdr:cxnSp macro="">
      <xdr:nvCxnSpPr>
        <xdr:cNvPr id="836" name="OpenSolver92">
          <a:extLst>
            <a:ext uri="{FF2B5EF4-FFF2-40B4-BE49-F238E27FC236}">
              <a16:creationId xmlns:a16="http://schemas.microsoft.com/office/drawing/2014/main" id="{00000000-0008-0000-0100-000044030000}"/>
            </a:ext>
          </a:extLst>
        </xdr:cNvPr>
        <xdr:cNvCxnSpPr>
          <a:stCxn id="834" idx="2"/>
          <a:endCxn id="835" idx="0"/>
        </xdr:cNvCxnSpPr>
      </xdr:nvCxnSpPr>
      <xdr:spPr>
        <a:xfrm>
          <a:off x="23355300" y="56211788"/>
          <a:ext cx="6350" cy="1984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660400</xdr:colOff>
      <xdr:row>294</xdr:row>
      <xdr:rowOff>157956</xdr:rowOff>
    </xdr:from>
    <xdr:to>
      <xdr:col>27</xdr:col>
      <xdr:colOff>174625</xdr:colOff>
      <xdr:row>296</xdr:row>
      <xdr:rowOff>40481</xdr:rowOff>
    </xdr:to>
    <xdr:sp macro="" textlink="">
      <xdr:nvSpPr>
        <xdr:cNvPr id="837" name="OpenSolver93">
          <a:extLst>
            <a:ext uri="{FF2B5EF4-FFF2-40B4-BE49-F238E27FC236}">
              <a16:creationId xmlns:a16="http://schemas.microsoft.com/office/drawing/2014/main" id="{00000000-0008-0000-0100-000045030000}"/>
            </a:ext>
          </a:extLst>
        </xdr:cNvPr>
        <xdr:cNvSpPr/>
      </xdr:nvSpPr>
      <xdr:spPr>
        <a:xfrm>
          <a:off x="23167975" y="56184006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292</xdr:row>
      <xdr:rowOff>0</xdr:rowOff>
    </xdr:from>
    <xdr:to>
      <xdr:col>31</xdr:col>
      <xdr:colOff>0</xdr:colOff>
      <xdr:row>293</xdr:row>
      <xdr:rowOff>0</xdr:rowOff>
    </xdr:to>
    <xdr:sp macro="" textlink="">
      <xdr:nvSpPr>
        <xdr:cNvPr id="838" name="OpenSolver94">
          <a:extLst>
            <a:ext uri="{FF2B5EF4-FFF2-40B4-BE49-F238E27FC236}">
              <a16:creationId xmlns:a16="http://schemas.microsoft.com/office/drawing/2014/main" id="{00000000-0008-0000-0100-000046030000}"/>
            </a:ext>
          </a:extLst>
        </xdr:cNvPr>
        <xdr:cNvSpPr/>
      </xdr:nvSpPr>
      <xdr:spPr>
        <a:xfrm>
          <a:off x="19869150" y="55654575"/>
          <a:ext cx="6972300" cy="185738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23</xdr:col>
      <xdr:colOff>25400</xdr:colOff>
      <xdr:row>293</xdr:row>
      <xdr:rowOff>25400</xdr:rowOff>
    </xdr:from>
    <xdr:to>
      <xdr:col>31</xdr:col>
      <xdr:colOff>0</xdr:colOff>
      <xdr:row>294</xdr:row>
      <xdr:rowOff>0</xdr:rowOff>
    </xdr:to>
    <xdr:sp macro="" textlink="">
      <xdr:nvSpPr>
        <xdr:cNvPr id="839" name="OpenSolver95">
          <a:extLst>
            <a:ext uri="{FF2B5EF4-FFF2-40B4-BE49-F238E27FC236}">
              <a16:creationId xmlns:a16="http://schemas.microsoft.com/office/drawing/2014/main" id="{00000000-0008-0000-0100-000047030000}"/>
            </a:ext>
          </a:extLst>
        </xdr:cNvPr>
        <xdr:cNvSpPr/>
      </xdr:nvSpPr>
      <xdr:spPr>
        <a:xfrm>
          <a:off x="19894550" y="55865713"/>
          <a:ext cx="6946900" cy="160337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293</xdr:row>
      <xdr:rowOff>0</xdr:rowOff>
    </xdr:from>
    <xdr:to>
      <xdr:col>26</xdr:col>
      <xdr:colOff>860425</xdr:colOff>
      <xdr:row>293</xdr:row>
      <xdr:rowOff>25400</xdr:rowOff>
    </xdr:to>
    <xdr:cxnSp macro="">
      <xdr:nvCxnSpPr>
        <xdr:cNvPr id="840" name="OpenSolver96">
          <a:extLst>
            <a:ext uri="{FF2B5EF4-FFF2-40B4-BE49-F238E27FC236}">
              <a16:creationId xmlns:a16="http://schemas.microsoft.com/office/drawing/2014/main" id="{00000000-0008-0000-0100-000048030000}"/>
            </a:ext>
          </a:extLst>
        </xdr:cNvPr>
        <xdr:cNvCxnSpPr>
          <a:stCxn id="838" idx="2"/>
          <a:endCxn id="839" idx="0"/>
        </xdr:cNvCxnSpPr>
      </xdr:nvCxnSpPr>
      <xdr:spPr>
        <a:xfrm>
          <a:off x="23355300" y="55840313"/>
          <a:ext cx="12700" cy="254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292</xdr:row>
      <xdr:rowOff>71438</xdr:rowOff>
    </xdr:from>
    <xdr:to>
      <xdr:col>27</xdr:col>
      <xdr:colOff>177800</xdr:colOff>
      <xdr:row>293</xdr:row>
      <xdr:rowOff>139700</xdr:rowOff>
    </xdr:to>
    <xdr:sp macro="" textlink="">
      <xdr:nvSpPr>
        <xdr:cNvPr id="841" name="OpenSolver97">
          <a:extLst>
            <a:ext uri="{FF2B5EF4-FFF2-40B4-BE49-F238E27FC236}">
              <a16:creationId xmlns:a16="http://schemas.microsoft.com/office/drawing/2014/main" id="{00000000-0008-0000-0100-000049030000}"/>
            </a:ext>
          </a:extLst>
        </xdr:cNvPr>
        <xdr:cNvSpPr/>
      </xdr:nvSpPr>
      <xdr:spPr>
        <a:xfrm>
          <a:off x="23171150" y="5572601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0</xdr:colOff>
      <xdr:row>295</xdr:row>
      <xdr:rowOff>0</xdr:rowOff>
    </xdr:from>
    <xdr:to>
      <xdr:col>31</xdr:col>
      <xdr:colOff>0</xdr:colOff>
      <xdr:row>296</xdr:row>
      <xdr:rowOff>0</xdr:rowOff>
    </xdr:to>
    <xdr:sp macro="" textlink="">
      <xdr:nvSpPr>
        <xdr:cNvPr id="842" name="OpenSolver98">
          <a:extLst>
            <a:ext uri="{FF2B5EF4-FFF2-40B4-BE49-F238E27FC236}">
              <a16:creationId xmlns:a16="http://schemas.microsoft.com/office/drawing/2014/main" id="{00000000-0008-0000-0100-00004A030000}"/>
            </a:ext>
          </a:extLst>
        </xdr:cNvPr>
        <xdr:cNvSpPr/>
      </xdr:nvSpPr>
      <xdr:spPr>
        <a:xfrm>
          <a:off x="19869150" y="56211788"/>
          <a:ext cx="6972300" cy="185737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23</xdr:col>
      <xdr:colOff>25400</xdr:colOff>
      <xdr:row>296</xdr:row>
      <xdr:rowOff>25400</xdr:rowOff>
    </xdr:from>
    <xdr:to>
      <xdr:col>31</xdr:col>
      <xdr:colOff>0</xdr:colOff>
      <xdr:row>297</xdr:row>
      <xdr:rowOff>0</xdr:rowOff>
    </xdr:to>
    <xdr:sp macro="" textlink="">
      <xdr:nvSpPr>
        <xdr:cNvPr id="843" name="OpenSolver99">
          <a:extLst>
            <a:ext uri="{FF2B5EF4-FFF2-40B4-BE49-F238E27FC236}">
              <a16:creationId xmlns:a16="http://schemas.microsoft.com/office/drawing/2014/main" id="{00000000-0008-0000-0100-00004B030000}"/>
            </a:ext>
          </a:extLst>
        </xdr:cNvPr>
        <xdr:cNvSpPr/>
      </xdr:nvSpPr>
      <xdr:spPr>
        <a:xfrm>
          <a:off x="19894550" y="56422925"/>
          <a:ext cx="6946900" cy="160338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847725</xdr:colOff>
      <xdr:row>296</xdr:row>
      <xdr:rowOff>0</xdr:rowOff>
    </xdr:from>
    <xdr:to>
      <xdr:col>26</xdr:col>
      <xdr:colOff>860425</xdr:colOff>
      <xdr:row>296</xdr:row>
      <xdr:rowOff>25400</xdr:rowOff>
    </xdr:to>
    <xdr:cxnSp macro="">
      <xdr:nvCxnSpPr>
        <xdr:cNvPr id="844" name="OpenSolver100">
          <a:extLst>
            <a:ext uri="{FF2B5EF4-FFF2-40B4-BE49-F238E27FC236}">
              <a16:creationId xmlns:a16="http://schemas.microsoft.com/office/drawing/2014/main" id="{00000000-0008-0000-0100-00004C030000}"/>
            </a:ext>
          </a:extLst>
        </xdr:cNvPr>
        <xdr:cNvCxnSpPr>
          <a:stCxn id="842" idx="2"/>
          <a:endCxn id="843" idx="0"/>
        </xdr:cNvCxnSpPr>
      </xdr:nvCxnSpPr>
      <xdr:spPr>
        <a:xfrm>
          <a:off x="23355300" y="56397525"/>
          <a:ext cx="12700" cy="254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663575</xdr:colOff>
      <xdr:row>295</xdr:row>
      <xdr:rowOff>71437</xdr:rowOff>
    </xdr:from>
    <xdr:to>
      <xdr:col>27</xdr:col>
      <xdr:colOff>177800</xdr:colOff>
      <xdr:row>296</xdr:row>
      <xdr:rowOff>139700</xdr:rowOff>
    </xdr:to>
    <xdr:sp macro="" textlink="">
      <xdr:nvSpPr>
        <xdr:cNvPr id="845" name="OpenSolver101">
          <a:extLst>
            <a:ext uri="{FF2B5EF4-FFF2-40B4-BE49-F238E27FC236}">
              <a16:creationId xmlns:a16="http://schemas.microsoft.com/office/drawing/2014/main" id="{00000000-0008-0000-0100-00004D030000}"/>
            </a:ext>
          </a:extLst>
        </xdr:cNvPr>
        <xdr:cNvSpPr/>
      </xdr:nvSpPr>
      <xdr:spPr>
        <a:xfrm>
          <a:off x="23171150" y="562832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0</xdr:colOff>
      <xdr:row>3</xdr:row>
      <xdr:rowOff>0</xdr:rowOff>
    </xdr:from>
    <xdr:to>
      <xdr:col>43</xdr:col>
      <xdr:colOff>0</xdr:colOff>
      <xdr:row>223</xdr:row>
      <xdr:rowOff>0</xdr:rowOff>
    </xdr:to>
    <xdr:sp macro="" textlink="">
      <xdr:nvSpPr>
        <xdr:cNvPr id="846" name="OpenSolverAQ4:AQ223">
          <a:extLst>
            <a:ext uri="{FF2B5EF4-FFF2-40B4-BE49-F238E27FC236}">
              <a16:creationId xmlns:a16="http://schemas.microsoft.com/office/drawing/2014/main" id="{00000000-0008-0000-0100-00004E030000}"/>
            </a:ext>
          </a:extLst>
        </xdr:cNvPr>
        <xdr:cNvSpPr/>
      </xdr:nvSpPr>
      <xdr:spPr>
        <a:xfrm>
          <a:off x="35271075" y="1100138"/>
          <a:ext cx="795338" cy="419052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en-US" sz="1100" b="1">
              <a:solidFill>
                <a:srgbClr val="008000"/>
              </a:solidFill>
            </a:rPr>
            <a:t>0=</a:t>
          </a:r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223</xdr:row>
      <xdr:rowOff>0</xdr:rowOff>
    </xdr:to>
    <xdr:sp macro="" textlink="">
      <xdr:nvSpPr>
        <xdr:cNvPr id="847" name="OpenSolver103">
          <a:extLst>
            <a:ext uri="{FF2B5EF4-FFF2-40B4-BE49-F238E27FC236}">
              <a16:creationId xmlns:a16="http://schemas.microsoft.com/office/drawing/2014/main" id="{00000000-0008-0000-0100-00004F030000}"/>
            </a:ext>
          </a:extLst>
        </xdr:cNvPr>
        <xdr:cNvSpPr/>
      </xdr:nvSpPr>
      <xdr:spPr>
        <a:xfrm>
          <a:off x="33347025" y="1100138"/>
          <a:ext cx="962025" cy="41905237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223</xdr:row>
      <xdr:rowOff>0</xdr:rowOff>
    </xdr:to>
    <xdr:sp macro="" textlink="">
      <xdr:nvSpPr>
        <xdr:cNvPr id="848" name="OpenSolver104">
          <a:extLst>
            <a:ext uri="{FF2B5EF4-FFF2-40B4-BE49-F238E27FC236}">
              <a16:creationId xmlns:a16="http://schemas.microsoft.com/office/drawing/2014/main" id="{00000000-0008-0000-0100-000050030000}"/>
            </a:ext>
          </a:extLst>
        </xdr:cNvPr>
        <xdr:cNvSpPr/>
      </xdr:nvSpPr>
      <xdr:spPr>
        <a:xfrm>
          <a:off x="34309050" y="1100138"/>
          <a:ext cx="962025" cy="41905237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41</xdr:col>
      <xdr:colOff>0</xdr:colOff>
      <xdr:row>113</xdr:row>
      <xdr:rowOff>2382</xdr:rowOff>
    </xdr:from>
    <xdr:to>
      <xdr:col>41</xdr:col>
      <xdr:colOff>0</xdr:colOff>
      <xdr:row>113</xdr:row>
      <xdr:rowOff>2382</xdr:rowOff>
    </xdr:to>
    <xdr:cxnSp macro="">
      <xdr:nvCxnSpPr>
        <xdr:cNvPr id="849" name="OpenSolver105">
          <a:extLst>
            <a:ext uri="{FF2B5EF4-FFF2-40B4-BE49-F238E27FC236}">
              <a16:creationId xmlns:a16="http://schemas.microsoft.com/office/drawing/2014/main" id="{00000000-0008-0000-0100-000051030000}"/>
            </a:ext>
          </a:extLst>
        </xdr:cNvPr>
        <xdr:cNvCxnSpPr>
          <a:stCxn id="847" idx="3"/>
          <a:endCxn id="848" idx="1"/>
        </xdr:cNvCxnSpPr>
      </xdr:nvCxnSpPr>
      <xdr:spPr>
        <a:xfrm>
          <a:off x="34309050" y="22052757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771522</xdr:colOff>
      <xdr:row>112</xdr:row>
      <xdr:rowOff>65881</xdr:rowOff>
    </xdr:from>
    <xdr:to>
      <xdr:col>41</xdr:col>
      <xdr:colOff>190497</xdr:colOff>
      <xdr:row>113</xdr:row>
      <xdr:rowOff>129381</xdr:rowOff>
    </xdr:to>
    <xdr:sp macro="" textlink="">
      <xdr:nvSpPr>
        <xdr:cNvPr id="850" name="OpenSolver106">
          <a:extLst>
            <a:ext uri="{FF2B5EF4-FFF2-40B4-BE49-F238E27FC236}">
              <a16:creationId xmlns:a16="http://schemas.microsoft.com/office/drawing/2014/main" id="{00000000-0008-0000-0100-000052030000}"/>
            </a:ext>
          </a:extLst>
        </xdr:cNvPr>
        <xdr:cNvSpPr/>
      </xdr:nvSpPr>
      <xdr:spPr>
        <a:xfrm>
          <a:off x="34118547" y="21925756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12700</xdr:colOff>
      <xdr:row>3</xdr:row>
      <xdr:rowOff>12700</xdr:rowOff>
    </xdr:from>
    <xdr:to>
      <xdr:col>31</xdr:col>
      <xdr:colOff>0</xdr:colOff>
      <xdr:row>223</xdr:row>
      <xdr:rowOff>0</xdr:rowOff>
    </xdr:to>
    <xdr:sp macro="" textlink="">
      <xdr:nvSpPr>
        <xdr:cNvPr id="851" name="OpenSolver107">
          <a:extLst>
            <a:ext uri="{FF2B5EF4-FFF2-40B4-BE49-F238E27FC236}">
              <a16:creationId xmlns:a16="http://schemas.microsoft.com/office/drawing/2014/main" id="{00000000-0008-0000-0100-000053030000}"/>
            </a:ext>
          </a:extLst>
        </xdr:cNvPr>
        <xdr:cNvSpPr/>
      </xdr:nvSpPr>
      <xdr:spPr>
        <a:xfrm>
          <a:off x="19881850" y="1112838"/>
          <a:ext cx="6959600" cy="41892537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22</xdr:col>
      <xdr:colOff>1360487</xdr:colOff>
      <xdr:row>2</xdr:row>
      <xdr:rowOff>488950</xdr:rowOff>
    </xdr:from>
    <xdr:to>
      <xdr:col>23</xdr:col>
      <xdr:colOff>314892</xdr:colOff>
      <xdr:row>3</xdr:row>
      <xdr:rowOff>68262</xdr:rowOff>
    </xdr:to>
    <xdr:sp macro="" textlink="">
      <xdr:nvSpPr>
        <xdr:cNvPr id="852" name="OpenSolver108">
          <a:extLst>
            <a:ext uri="{FF2B5EF4-FFF2-40B4-BE49-F238E27FC236}">
              <a16:creationId xmlns:a16="http://schemas.microsoft.com/office/drawing/2014/main" id="{00000000-0008-0000-0100-000054030000}"/>
            </a:ext>
          </a:extLst>
        </xdr:cNvPr>
        <xdr:cNvSpPr/>
      </xdr:nvSpPr>
      <xdr:spPr>
        <a:xfrm>
          <a:off x="19862800" y="10414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61913</xdr:rowOff>
        </xdr:from>
        <xdr:to>
          <xdr:col>2</xdr:col>
          <xdr:colOff>976313</xdr:colOff>
          <xdr:row>2</xdr:row>
          <xdr:rowOff>138113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Student Assignments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4</xdr:row>
          <xdr:rowOff>14288</xdr:rowOff>
        </xdr:from>
        <xdr:to>
          <xdr:col>1</xdr:col>
          <xdr:colOff>366713</xdr:colOff>
          <xdr:row>5</xdr:row>
          <xdr:rowOff>14288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5</xdr:row>
          <xdr:rowOff>14288</xdr:rowOff>
        </xdr:from>
        <xdr:to>
          <xdr:col>1</xdr:col>
          <xdr:colOff>366713</xdr:colOff>
          <xdr:row>6</xdr:row>
          <xdr:rowOff>14288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6</xdr:row>
          <xdr:rowOff>14288</xdr:rowOff>
        </xdr:from>
        <xdr:to>
          <xdr:col>1</xdr:col>
          <xdr:colOff>366713</xdr:colOff>
          <xdr:row>7</xdr:row>
          <xdr:rowOff>14288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7</xdr:row>
          <xdr:rowOff>14288</xdr:rowOff>
        </xdr:from>
        <xdr:to>
          <xdr:col>1</xdr:col>
          <xdr:colOff>366713</xdr:colOff>
          <xdr:row>8</xdr:row>
          <xdr:rowOff>14288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8</xdr:row>
          <xdr:rowOff>14288</xdr:rowOff>
        </xdr:from>
        <xdr:to>
          <xdr:col>1</xdr:col>
          <xdr:colOff>366713</xdr:colOff>
          <xdr:row>9</xdr:row>
          <xdr:rowOff>14288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9</xdr:row>
          <xdr:rowOff>14288</xdr:rowOff>
        </xdr:from>
        <xdr:to>
          <xdr:col>1</xdr:col>
          <xdr:colOff>366713</xdr:colOff>
          <xdr:row>10</xdr:row>
          <xdr:rowOff>14288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10</xdr:row>
          <xdr:rowOff>14288</xdr:rowOff>
        </xdr:from>
        <xdr:to>
          <xdr:col>1</xdr:col>
          <xdr:colOff>366713</xdr:colOff>
          <xdr:row>11</xdr:row>
          <xdr:rowOff>14288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11</xdr:row>
          <xdr:rowOff>14288</xdr:rowOff>
        </xdr:from>
        <xdr:to>
          <xdr:col>1</xdr:col>
          <xdr:colOff>366713</xdr:colOff>
          <xdr:row>12</xdr:row>
          <xdr:rowOff>14288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12</xdr:row>
          <xdr:rowOff>14288</xdr:rowOff>
        </xdr:from>
        <xdr:to>
          <xdr:col>1</xdr:col>
          <xdr:colOff>366713</xdr:colOff>
          <xdr:row>13</xdr:row>
          <xdr:rowOff>14288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138113</xdr:colOff>
          <xdr:row>13</xdr:row>
          <xdr:rowOff>14288</xdr:rowOff>
        </xdr:from>
        <xdr:to>
          <xdr:col>1</xdr:col>
          <xdr:colOff>366713</xdr:colOff>
          <xdr:row>14</xdr:row>
          <xdr:rowOff>14288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RG223"/>
  <sheetViews>
    <sheetView zoomScaleNormal="100" workbookViewId="0">
      <pane xSplit="3" ySplit="3" topLeftCell="G202" activePane="bottomRight" state="frozen"/>
      <selection pane="topRight" activeCell="D1" sqref="D1"/>
      <selection pane="bottomLeft" activeCell="A4" sqref="A4"/>
      <selection pane="bottomRight" activeCell="T224" sqref="T224"/>
    </sheetView>
  </sheetViews>
  <sheetFormatPr defaultColWidth="8.796875" defaultRowHeight="14.25" x14ac:dyDescent="0.45"/>
  <cols>
    <col min="1" max="1" width="13.6640625" style="72" customWidth="1"/>
    <col min="2" max="2" width="11.33203125" style="72" bestFit="1" customWidth="1"/>
    <col min="3" max="3" width="9" style="73"/>
    <col min="4" max="4" width="1.6640625" customWidth="1"/>
    <col min="5" max="5" width="9.1328125" customWidth="1"/>
    <col min="6" max="6" width="11" customWidth="1"/>
    <col min="7" max="7" width="13.33203125" customWidth="1"/>
    <col min="8" max="8" width="14.33203125" customWidth="1"/>
    <col min="9" max="11" width="10" customWidth="1"/>
    <col min="12" max="12" width="9.6640625" style="18" customWidth="1"/>
    <col min="13" max="13" width="10" customWidth="1"/>
    <col min="14" max="14" width="8.6640625" customWidth="1"/>
    <col min="15" max="22" width="12.1328125" customWidth="1"/>
    <col min="23" max="23" width="1.6640625" customWidth="1"/>
    <col min="24" max="24" width="8.6640625" customWidth="1"/>
    <col min="25" max="25" width="8" bestFit="1" customWidth="1"/>
    <col min="26" max="26" width="8.1328125" bestFit="1" customWidth="1"/>
    <col min="27" max="27" width="7.33203125" bestFit="1" customWidth="1"/>
    <col min="28" max="28" width="7.1328125" bestFit="1" customWidth="1"/>
    <col min="29" max="29" width="9.1328125" bestFit="1" customWidth="1"/>
    <col min="30" max="30" width="6.6640625" bestFit="1" customWidth="1"/>
    <col min="31" max="31" width="7" bestFit="1" customWidth="1"/>
    <col min="32" max="32" width="6.6640625" bestFit="1" customWidth="1"/>
    <col min="33" max="33" width="8.1328125" bestFit="1" customWidth="1"/>
    <col min="34" max="34" width="7.796875" bestFit="1" customWidth="1"/>
    <col min="35" max="36" width="8.33203125" bestFit="1" customWidth="1"/>
    <col min="37" max="38" width="7.33203125" bestFit="1" customWidth="1"/>
    <col min="39" max="39" width="8" bestFit="1" customWidth="1"/>
    <col min="40" max="40" width="9.33203125" bestFit="1" customWidth="1"/>
    <col min="41" max="41" width="8" bestFit="1" customWidth="1"/>
    <col min="42" max="42" width="9.6640625" bestFit="1" customWidth="1"/>
    <col min="43" max="43" width="6.796875" bestFit="1" customWidth="1"/>
    <col min="44" max="44" width="7.796875" bestFit="1" customWidth="1"/>
    <col min="45" max="46" width="9.33203125" bestFit="1" customWidth="1"/>
    <col min="47" max="47" width="8.6640625" bestFit="1" customWidth="1"/>
    <col min="48" max="48" width="6.6640625" bestFit="1" customWidth="1"/>
    <col min="49" max="49" width="5.796875" bestFit="1" customWidth="1"/>
    <col min="50" max="50" width="8.33203125" bestFit="1" customWidth="1"/>
    <col min="51" max="51" width="7.1328125" bestFit="1" customWidth="1"/>
    <col min="52" max="53" width="7.33203125" bestFit="1" customWidth="1"/>
    <col min="54" max="54" width="7.6640625" bestFit="1" customWidth="1"/>
    <col min="55" max="55" width="5.6640625" bestFit="1" customWidth="1"/>
    <col min="57" max="57" width="9.1328125" bestFit="1" customWidth="1"/>
    <col min="58" max="58" width="6.6640625" bestFit="1" customWidth="1"/>
    <col min="59" max="59" width="7.6640625" bestFit="1" customWidth="1"/>
    <col min="60" max="60" width="7.33203125" bestFit="1" customWidth="1"/>
    <col min="61" max="61" width="10.1328125" bestFit="1" customWidth="1"/>
    <col min="62" max="62" width="8.6640625" bestFit="1" customWidth="1"/>
    <col min="63" max="63" width="7.796875" bestFit="1" customWidth="1"/>
    <col min="64" max="64" width="8.33203125" bestFit="1" customWidth="1"/>
    <col min="65" max="65" width="7" bestFit="1" customWidth="1"/>
    <col min="66" max="66" width="6.6640625" bestFit="1" customWidth="1"/>
    <col min="67" max="67" width="6" bestFit="1" customWidth="1"/>
    <col min="68" max="68" width="10.33203125" bestFit="1" customWidth="1"/>
    <col min="69" max="69" width="8.6640625" bestFit="1" customWidth="1"/>
    <col min="70" max="70" width="5.33203125" bestFit="1" customWidth="1"/>
    <col min="71" max="71" width="6.33203125" bestFit="1" customWidth="1"/>
    <col min="72" max="72" width="8.796875" bestFit="1" customWidth="1"/>
    <col min="73" max="73" width="10.33203125" bestFit="1" customWidth="1"/>
    <col min="74" max="75" width="7.796875" bestFit="1" customWidth="1"/>
    <col min="76" max="78" width="7" bestFit="1" customWidth="1"/>
    <col min="79" max="79" width="8.33203125" bestFit="1" customWidth="1"/>
    <col min="80" max="80" width="8.6640625" bestFit="1" customWidth="1"/>
    <col min="82" max="82" width="7.6640625" bestFit="1" customWidth="1"/>
    <col min="83" max="83" width="10" bestFit="1" customWidth="1"/>
    <col min="84" max="84" width="7" bestFit="1" customWidth="1"/>
    <col min="85" max="85" width="6.33203125" bestFit="1" customWidth="1"/>
    <col min="86" max="87" width="7.6640625" bestFit="1" customWidth="1"/>
    <col min="88" max="88" width="5.33203125" bestFit="1" customWidth="1"/>
    <col min="89" max="89" width="8.1328125" bestFit="1" customWidth="1"/>
    <col min="90" max="90" width="6.33203125" bestFit="1" customWidth="1"/>
    <col min="91" max="91" width="9.33203125" bestFit="1" customWidth="1"/>
    <col min="92" max="92" width="8.6640625" bestFit="1" customWidth="1"/>
    <col min="93" max="93" width="8" bestFit="1" customWidth="1"/>
    <col min="94" max="94" width="7" bestFit="1" customWidth="1"/>
    <col min="95" max="95" width="6.6640625" bestFit="1" customWidth="1"/>
    <col min="96" max="96" width="8.33203125" bestFit="1" customWidth="1"/>
    <col min="97" max="97" width="6.796875" bestFit="1" customWidth="1"/>
    <col min="98" max="98" width="7.1328125" bestFit="1" customWidth="1"/>
    <col min="99" max="99" width="7.33203125" bestFit="1" customWidth="1"/>
    <col min="100" max="100" width="7" bestFit="1" customWidth="1"/>
    <col min="101" max="101" width="6.33203125" bestFit="1" customWidth="1"/>
    <col min="102" max="102" width="8" bestFit="1" customWidth="1"/>
    <col min="103" max="103" width="7.1328125" bestFit="1" customWidth="1"/>
    <col min="104" max="104" width="8.33203125" bestFit="1" customWidth="1"/>
    <col min="105" max="105" width="5.6640625" bestFit="1" customWidth="1"/>
    <col min="106" max="106" width="10.1328125" bestFit="1" customWidth="1"/>
    <col min="107" max="107" width="9.1328125" bestFit="1" customWidth="1"/>
    <col min="108" max="109" width="7.1328125" bestFit="1" customWidth="1"/>
    <col min="110" max="111" width="8.33203125" bestFit="1" customWidth="1"/>
    <col min="112" max="112" width="7.33203125" bestFit="1" customWidth="1"/>
    <col min="113" max="113" width="8.796875" bestFit="1" customWidth="1"/>
    <col min="114" max="114" width="6.33203125" bestFit="1" customWidth="1"/>
    <col min="115" max="115" width="6" bestFit="1" customWidth="1"/>
    <col min="116" max="116" width="8" bestFit="1" customWidth="1"/>
    <col min="117" max="117" width="7.6640625" bestFit="1" customWidth="1"/>
    <col min="118" max="118" width="6.6640625" bestFit="1" customWidth="1"/>
    <col min="119" max="119" width="6.33203125" bestFit="1" customWidth="1"/>
    <col min="120" max="120" width="8.6640625" bestFit="1" customWidth="1"/>
    <col min="121" max="121" width="9.33203125" bestFit="1" customWidth="1"/>
    <col min="122" max="122" width="7.1328125" bestFit="1" customWidth="1"/>
    <col min="123" max="123" width="7" bestFit="1" customWidth="1"/>
    <col min="124" max="124" width="5.6640625" bestFit="1" customWidth="1"/>
    <col min="125" max="125" width="5.33203125" bestFit="1" customWidth="1"/>
    <col min="126" max="126" width="6.33203125" bestFit="1" customWidth="1"/>
    <col min="127" max="127" width="6.796875" bestFit="1" customWidth="1"/>
    <col min="129" max="130" width="6.796875" bestFit="1" customWidth="1"/>
    <col min="131" max="131" width="6" bestFit="1" customWidth="1"/>
    <col min="132" max="132" width="7.33203125" bestFit="1" customWidth="1"/>
    <col min="133" max="133" width="7.6640625" bestFit="1" customWidth="1"/>
    <col min="134" max="134" width="6.796875" bestFit="1" customWidth="1"/>
    <col min="135" max="135" width="8.796875" bestFit="1" customWidth="1"/>
    <col min="136" max="136" width="7.33203125" bestFit="1" customWidth="1"/>
    <col min="137" max="137" width="6.33203125" bestFit="1" customWidth="1"/>
    <col min="138" max="138" width="5.33203125" bestFit="1" customWidth="1"/>
    <col min="139" max="139" width="8.33203125" bestFit="1" customWidth="1"/>
    <col min="140" max="140" width="6.6640625" bestFit="1" customWidth="1"/>
    <col min="141" max="141" width="10.796875" bestFit="1" customWidth="1"/>
    <col min="142" max="142" width="9.796875" bestFit="1" customWidth="1"/>
    <col min="143" max="143" width="7.6640625" bestFit="1" customWidth="1"/>
    <col min="144" max="144" width="8.33203125" bestFit="1" customWidth="1"/>
    <col min="145" max="145" width="6.6640625" bestFit="1" customWidth="1"/>
    <col min="146" max="146" width="9.33203125" bestFit="1" customWidth="1"/>
    <col min="147" max="147" width="10" bestFit="1" customWidth="1"/>
    <col min="148" max="148" width="8.6640625" bestFit="1" customWidth="1"/>
    <col min="149" max="149" width="7.796875" bestFit="1" customWidth="1"/>
    <col min="150" max="150" width="8.33203125" bestFit="1" customWidth="1"/>
    <col min="151" max="151" width="11.33203125" bestFit="1" customWidth="1"/>
    <col min="152" max="152" width="11" bestFit="1" customWidth="1"/>
    <col min="153" max="153" width="8" bestFit="1" customWidth="1"/>
    <col min="154" max="154" width="9" bestFit="1" customWidth="1"/>
    <col min="155" max="155" width="8.796875" bestFit="1" customWidth="1"/>
    <col min="156" max="156" width="7.33203125" bestFit="1" customWidth="1"/>
    <col min="157" max="157" width="5.6640625" bestFit="1" customWidth="1"/>
    <col min="158" max="158" width="7.796875" bestFit="1" customWidth="1"/>
    <col min="159" max="159" width="6.1328125" bestFit="1" customWidth="1"/>
    <col min="160" max="160" width="6" bestFit="1" customWidth="1"/>
    <col min="161" max="161" width="7.6640625" bestFit="1" customWidth="1"/>
    <col min="162" max="162" width="8.6640625" bestFit="1" customWidth="1"/>
    <col min="163" max="163" width="10.1328125" bestFit="1" customWidth="1"/>
    <col min="164" max="164" width="8.33203125" bestFit="1" customWidth="1"/>
    <col min="165" max="165" width="6.796875" bestFit="1" customWidth="1"/>
    <col min="166" max="166" width="7" bestFit="1" customWidth="1"/>
    <col min="167" max="167" width="7.33203125" bestFit="1" customWidth="1"/>
    <col min="168" max="168" width="6.1328125" bestFit="1" customWidth="1"/>
    <col min="169" max="169" width="8" bestFit="1" customWidth="1"/>
    <col min="170" max="170" width="4.796875" bestFit="1" customWidth="1"/>
    <col min="171" max="172" width="6.6640625" bestFit="1" customWidth="1"/>
    <col min="173" max="173" width="11.33203125" bestFit="1" customWidth="1"/>
    <col min="174" max="174" width="8.6640625" bestFit="1" customWidth="1"/>
    <col min="176" max="176" width="8.6640625" bestFit="1" customWidth="1"/>
    <col min="177" max="177" width="8.33203125" bestFit="1" customWidth="1"/>
    <col min="178" max="178" width="9.796875" bestFit="1" customWidth="1"/>
    <col min="179" max="179" width="6.6640625" bestFit="1" customWidth="1"/>
    <col min="180" max="180" width="8.1328125" bestFit="1" customWidth="1"/>
    <col min="181" max="181" width="5.33203125" bestFit="1" customWidth="1"/>
    <col min="182" max="182" width="6.33203125" bestFit="1" customWidth="1"/>
    <col min="183" max="183" width="7.796875" bestFit="1" customWidth="1"/>
    <col min="184" max="184" width="9.33203125" bestFit="1" customWidth="1"/>
    <col min="185" max="185" width="6.33203125" bestFit="1" customWidth="1"/>
    <col min="186" max="186" width="7.6640625" bestFit="1" customWidth="1"/>
    <col min="187" max="187" width="7" bestFit="1" customWidth="1"/>
    <col min="188" max="188" width="8.1328125" bestFit="1" customWidth="1"/>
    <col min="189" max="189" width="6.33203125" bestFit="1" customWidth="1"/>
    <col min="190" max="190" width="6.6640625" bestFit="1" customWidth="1"/>
    <col min="191" max="191" width="8.33203125" bestFit="1" customWidth="1"/>
    <col min="192" max="192" width="6.33203125" bestFit="1" customWidth="1"/>
    <col min="193" max="193" width="8.33203125" bestFit="1" customWidth="1"/>
    <col min="194" max="194" width="10.1328125" bestFit="1" customWidth="1"/>
    <col min="195" max="195" width="8.6640625" bestFit="1" customWidth="1"/>
    <col min="196" max="196" width="9.6640625" bestFit="1" customWidth="1"/>
    <col min="197" max="197" width="7.1328125" bestFit="1" customWidth="1"/>
    <col min="198" max="198" width="10.1328125" bestFit="1" customWidth="1"/>
    <col min="199" max="199" width="7.6640625" bestFit="1" customWidth="1"/>
    <col min="200" max="200" width="11.6640625" bestFit="1" customWidth="1"/>
    <col min="201" max="201" width="8.6640625" bestFit="1" customWidth="1"/>
    <col min="202" max="202" width="6.33203125" bestFit="1" customWidth="1"/>
    <col min="203" max="203" width="7.33203125" bestFit="1" customWidth="1"/>
    <col min="204" max="204" width="7.1328125" bestFit="1" customWidth="1"/>
    <col min="205" max="205" width="6.6640625" bestFit="1" customWidth="1"/>
    <col min="206" max="206" width="7.33203125" bestFit="1" customWidth="1"/>
    <col min="207" max="207" width="8.33203125" bestFit="1" customWidth="1"/>
    <col min="208" max="208" width="8.1328125" bestFit="1" customWidth="1"/>
    <col min="209" max="209" width="8.6640625" bestFit="1" customWidth="1"/>
    <col min="210" max="210" width="7.33203125" bestFit="1" customWidth="1"/>
    <col min="211" max="211" width="9" bestFit="1" customWidth="1"/>
    <col min="212" max="212" width="8.6640625" bestFit="1" customWidth="1"/>
    <col min="213" max="213" width="7.6640625" bestFit="1" customWidth="1"/>
    <col min="214" max="214" width="7" bestFit="1" customWidth="1"/>
    <col min="215" max="216" width="8.33203125" bestFit="1" customWidth="1"/>
    <col min="217" max="217" width="7.33203125" bestFit="1" customWidth="1"/>
    <col min="218" max="218" width="6.6640625" bestFit="1" customWidth="1"/>
    <col min="219" max="219" width="7.1328125" bestFit="1" customWidth="1"/>
    <col min="220" max="220" width="7.6640625" bestFit="1" customWidth="1"/>
    <col min="221" max="221" width="7.1328125" bestFit="1" customWidth="1"/>
    <col min="222" max="222" width="6.6640625" bestFit="1" customWidth="1"/>
    <col min="223" max="223" width="5.796875" bestFit="1" customWidth="1"/>
    <col min="224" max="243" width="4.796875" bestFit="1" customWidth="1"/>
  </cols>
  <sheetData>
    <row r="1" spans="1:475" s="26" customFormat="1" x14ac:dyDescent="0.45">
      <c r="A1" s="62"/>
      <c r="B1" s="62"/>
      <c r="C1" s="63"/>
      <c r="L1" s="27"/>
      <c r="N1" s="27"/>
      <c r="O1" s="160" t="s">
        <v>98</v>
      </c>
      <c r="P1" s="161"/>
      <c r="Q1" s="161"/>
      <c r="R1" s="161"/>
      <c r="S1" s="161"/>
      <c r="T1" s="161"/>
      <c r="U1" s="161"/>
      <c r="V1" s="161"/>
      <c r="W1" s="17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</row>
    <row r="2" spans="1:475" s="26" customFormat="1" x14ac:dyDescent="0.45">
      <c r="A2" s="166" t="s">
        <v>0</v>
      </c>
      <c r="B2" s="166"/>
      <c r="C2" s="166"/>
      <c r="D2" s="167"/>
      <c r="E2" s="168" t="s">
        <v>36</v>
      </c>
      <c r="F2" s="168"/>
      <c r="G2" s="168"/>
      <c r="H2" s="168"/>
      <c r="I2" s="168"/>
      <c r="J2" s="168"/>
      <c r="K2" s="168"/>
      <c r="L2" s="168"/>
      <c r="M2" s="168"/>
      <c r="N2" s="169" t="s">
        <v>4</v>
      </c>
      <c r="O2" s="170" t="s">
        <v>387</v>
      </c>
      <c r="P2" s="170" t="s">
        <v>388</v>
      </c>
      <c r="Q2" s="170" t="s">
        <v>389</v>
      </c>
      <c r="R2" s="170" t="s">
        <v>390</v>
      </c>
      <c r="S2" s="170" t="s">
        <v>391</v>
      </c>
      <c r="T2" s="170" t="s">
        <v>392</v>
      </c>
      <c r="U2" s="170" t="s">
        <v>385</v>
      </c>
      <c r="V2" s="170" t="s">
        <v>386</v>
      </c>
      <c r="W2" s="159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</row>
    <row r="3" spans="1:475" s="26" customFormat="1" ht="42.75" x14ac:dyDescent="0.45">
      <c r="A3" s="171" t="s">
        <v>7</v>
      </c>
      <c r="B3" s="171" t="s">
        <v>6</v>
      </c>
      <c r="C3" s="172" t="s">
        <v>33</v>
      </c>
      <c r="D3" s="169"/>
      <c r="E3" s="173" t="s">
        <v>9</v>
      </c>
      <c r="F3" s="173" t="s">
        <v>107</v>
      </c>
      <c r="G3" s="173" t="s">
        <v>38</v>
      </c>
      <c r="H3" s="173" t="s">
        <v>37</v>
      </c>
      <c r="I3" s="173" t="s">
        <v>104</v>
      </c>
      <c r="J3" s="173" t="s">
        <v>105</v>
      </c>
      <c r="K3" s="173" t="s">
        <v>106</v>
      </c>
      <c r="L3" s="173" t="s">
        <v>34</v>
      </c>
      <c r="M3" s="173" t="s">
        <v>35</v>
      </c>
      <c r="N3" s="173" t="s">
        <v>5</v>
      </c>
      <c r="O3" s="174" t="s">
        <v>1</v>
      </c>
      <c r="P3" s="174" t="s">
        <v>1</v>
      </c>
      <c r="Q3" s="174" t="s">
        <v>1</v>
      </c>
      <c r="R3" s="174" t="s">
        <v>1</v>
      </c>
      <c r="S3" s="174" t="s">
        <v>1</v>
      </c>
      <c r="T3" s="174" t="s">
        <v>1</v>
      </c>
      <c r="U3" s="174" t="s">
        <v>1</v>
      </c>
      <c r="V3" s="174" t="s">
        <v>2</v>
      </c>
      <c r="W3" s="159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</row>
    <row r="4" spans="1:475" x14ac:dyDescent="0.45">
      <c r="A4" s="157" t="s">
        <v>112</v>
      </c>
      <c r="B4" s="157" t="s">
        <v>113</v>
      </c>
      <c r="C4" s="175">
        <v>1</v>
      </c>
      <c r="D4" s="176"/>
      <c r="E4" s="157">
        <v>1</v>
      </c>
      <c r="F4" s="157">
        <v>0</v>
      </c>
      <c r="G4" s="157">
        <v>4</v>
      </c>
      <c r="H4" s="157">
        <v>4</v>
      </c>
      <c r="I4" s="177">
        <v>0</v>
      </c>
      <c r="J4" s="157">
        <v>0</v>
      </c>
      <c r="K4" s="157">
        <v>0</v>
      </c>
      <c r="L4" s="177">
        <v>0</v>
      </c>
      <c r="M4" s="174">
        <v>0</v>
      </c>
      <c r="N4" s="157"/>
      <c r="O4" s="177">
        <v>1</v>
      </c>
      <c r="P4" s="177">
        <v>0</v>
      </c>
      <c r="Q4" s="177">
        <v>0</v>
      </c>
      <c r="R4" s="177">
        <v>-1</v>
      </c>
      <c r="S4" s="177">
        <v>0</v>
      </c>
      <c r="T4" s="177">
        <v>0</v>
      </c>
      <c r="U4" s="177">
        <v>0</v>
      </c>
      <c r="V4" s="177">
        <v>0</v>
      </c>
      <c r="W4" s="159"/>
    </row>
    <row r="5" spans="1:475" x14ac:dyDescent="0.45">
      <c r="A5" s="157" t="s">
        <v>114</v>
      </c>
      <c r="B5" s="157" t="s">
        <v>115</v>
      </c>
      <c r="C5" s="175">
        <v>2</v>
      </c>
      <c r="D5" s="176"/>
      <c r="E5" s="157">
        <v>0</v>
      </c>
      <c r="F5" s="157">
        <v>0</v>
      </c>
      <c r="G5" s="157">
        <v>4</v>
      </c>
      <c r="H5" s="157">
        <v>4</v>
      </c>
      <c r="I5" s="177">
        <v>0</v>
      </c>
      <c r="J5" s="157">
        <v>0</v>
      </c>
      <c r="K5" s="157">
        <v>0</v>
      </c>
      <c r="L5" s="177">
        <v>0</v>
      </c>
      <c r="M5" s="177">
        <v>0</v>
      </c>
      <c r="N5" s="157"/>
      <c r="O5" s="177">
        <v>0</v>
      </c>
      <c r="P5" s="177">
        <v>0</v>
      </c>
      <c r="Q5" s="177">
        <v>0</v>
      </c>
      <c r="R5" s="177">
        <v>0</v>
      </c>
      <c r="S5" s="177">
        <v>0</v>
      </c>
      <c r="T5" s="177">
        <v>0</v>
      </c>
      <c r="U5" s="177">
        <v>0</v>
      </c>
      <c r="V5" s="177">
        <v>1</v>
      </c>
      <c r="W5" s="159"/>
    </row>
    <row r="6" spans="1:475" x14ac:dyDescent="0.45">
      <c r="A6" s="157" t="s">
        <v>116</v>
      </c>
      <c r="B6" s="157" t="s">
        <v>117</v>
      </c>
      <c r="C6" s="175">
        <v>3</v>
      </c>
      <c r="D6" s="176"/>
      <c r="E6" s="157">
        <v>1</v>
      </c>
      <c r="F6" s="157">
        <v>0</v>
      </c>
      <c r="G6" s="157">
        <v>4</v>
      </c>
      <c r="H6" s="157">
        <v>4</v>
      </c>
      <c r="I6" s="177">
        <v>0</v>
      </c>
      <c r="J6" s="157">
        <v>0</v>
      </c>
      <c r="K6" s="157">
        <v>1</v>
      </c>
      <c r="L6" s="177">
        <v>0</v>
      </c>
      <c r="M6" s="177">
        <v>0</v>
      </c>
      <c r="N6" s="157"/>
      <c r="O6" s="177">
        <v>0</v>
      </c>
      <c r="P6" s="177">
        <v>0</v>
      </c>
      <c r="Q6" s="177">
        <v>0</v>
      </c>
      <c r="R6" s="177">
        <v>0</v>
      </c>
      <c r="S6" s="177">
        <v>0</v>
      </c>
      <c r="T6" s="177">
        <v>0</v>
      </c>
      <c r="U6" s="177">
        <v>0</v>
      </c>
      <c r="V6" s="177">
        <v>1</v>
      </c>
      <c r="W6" s="159"/>
    </row>
    <row r="7" spans="1:475" x14ac:dyDescent="0.45">
      <c r="A7" s="157" t="s">
        <v>118</v>
      </c>
      <c r="B7" s="157" t="s">
        <v>119</v>
      </c>
      <c r="C7" s="175">
        <v>4</v>
      </c>
      <c r="D7" s="176"/>
      <c r="E7" s="157">
        <v>1</v>
      </c>
      <c r="F7" s="157">
        <v>0</v>
      </c>
      <c r="G7" s="157">
        <v>4</v>
      </c>
      <c r="H7" s="157">
        <v>4</v>
      </c>
      <c r="I7" s="177">
        <v>0</v>
      </c>
      <c r="J7" s="157">
        <v>0</v>
      </c>
      <c r="K7" s="157">
        <v>0</v>
      </c>
      <c r="L7" s="177">
        <v>0</v>
      </c>
      <c r="M7" s="177">
        <v>0</v>
      </c>
      <c r="N7" s="157"/>
      <c r="O7" s="177">
        <v>1</v>
      </c>
      <c r="P7" s="177">
        <v>0</v>
      </c>
      <c r="Q7" s="177">
        <v>0</v>
      </c>
      <c r="R7" s="177">
        <v>0</v>
      </c>
      <c r="S7" s="177">
        <v>0</v>
      </c>
      <c r="T7" s="177">
        <v>0</v>
      </c>
      <c r="U7" s="177">
        <v>0</v>
      </c>
      <c r="V7" s="177">
        <v>0</v>
      </c>
      <c r="W7" s="159"/>
    </row>
    <row r="8" spans="1:475" x14ac:dyDescent="0.45">
      <c r="A8" s="157" t="s">
        <v>120</v>
      </c>
      <c r="B8" s="157" t="s">
        <v>121</v>
      </c>
      <c r="C8" s="175">
        <v>5</v>
      </c>
      <c r="D8" s="176"/>
      <c r="E8" s="157">
        <v>1</v>
      </c>
      <c r="F8" s="157">
        <v>1</v>
      </c>
      <c r="G8" s="157">
        <v>4</v>
      </c>
      <c r="H8" s="157">
        <v>4</v>
      </c>
      <c r="I8" s="177">
        <v>0</v>
      </c>
      <c r="J8" s="157">
        <v>0</v>
      </c>
      <c r="K8" s="157">
        <v>0</v>
      </c>
      <c r="L8" s="177">
        <v>0</v>
      </c>
      <c r="M8" s="177">
        <v>0</v>
      </c>
      <c r="N8" s="157"/>
      <c r="O8" s="177">
        <v>0</v>
      </c>
      <c r="P8" s="177">
        <v>0</v>
      </c>
      <c r="Q8" s="177">
        <v>0</v>
      </c>
      <c r="R8" s="177">
        <v>0</v>
      </c>
      <c r="S8" s="177">
        <v>0</v>
      </c>
      <c r="T8" s="177">
        <v>0</v>
      </c>
      <c r="U8" s="177">
        <v>0</v>
      </c>
      <c r="V8" s="177">
        <v>0</v>
      </c>
      <c r="W8" s="159"/>
    </row>
    <row r="9" spans="1:475" x14ac:dyDescent="0.45">
      <c r="A9" s="157" t="s">
        <v>122</v>
      </c>
      <c r="B9" s="157" t="s">
        <v>123</v>
      </c>
      <c r="C9" s="175">
        <v>6</v>
      </c>
      <c r="D9" s="176"/>
      <c r="E9" s="157">
        <v>1</v>
      </c>
      <c r="F9" s="157">
        <v>0</v>
      </c>
      <c r="G9" s="157">
        <v>4</v>
      </c>
      <c r="H9" s="157">
        <v>4</v>
      </c>
      <c r="I9" s="177">
        <v>0</v>
      </c>
      <c r="J9" s="157">
        <v>0</v>
      </c>
      <c r="K9" s="157">
        <v>0</v>
      </c>
      <c r="L9" s="177">
        <v>0</v>
      </c>
      <c r="M9" s="177">
        <v>0</v>
      </c>
      <c r="N9" s="157"/>
      <c r="O9" s="177">
        <v>0</v>
      </c>
      <c r="P9" s="177">
        <v>0</v>
      </c>
      <c r="Q9" s="177">
        <v>0</v>
      </c>
      <c r="R9" s="177">
        <v>0</v>
      </c>
      <c r="S9" s="177">
        <v>1</v>
      </c>
      <c r="T9" s="177">
        <v>0</v>
      </c>
      <c r="U9" s="177">
        <v>0</v>
      </c>
      <c r="V9" s="177">
        <v>0</v>
      </c>
      <c r="W9" s="159"/>
    </row>
    <row r="10" spans="1:475" x14ac:dyDescent="0.45">
      <c r="A10" s="157" t="s">
        <v>124</v>
      </c>
      <c r="B10" s="157" t="s">
        <v>125</v>
      </c>
      <c r="C10" s="175">
        <v>7</v>
      </c>
      <c r="D10" s="176"/>
      <c r="E10" s="157">
        <v>1</v>
      </c>
      <c r="F10" s="157">
        <v>1</v>
      </c>
      <c r="G10" s="157">
        <v>4</v>
      </c>
      <c r="H10" s="157">
        <v>4</v>
      </c>
      <c r="I10" s="177">
        <v>0</v>
      </c>
      <c r="J10" s="157">
        <v>0</v>
      </c>
      <c r="K10" s="157">
        <v>0</v>
      </c>
      <c r="L10" s="177">
        <v>0</v>
      </c>
      <c r="M10" s="177">
        <v>0</v>
      </c>
      <c r="N10" s="157"/>
      <c r="O10" s="177">
        <v>0</v>
      </c>
      <c r="P10" s="177">
        <v>0</v>
      </c>
      <c r="Q10" s="177">
        <v>0</v>
      </c>
      <c r="R10" s="177">
        <v>-1</v>
      </c>
      <c r="S10" s="177">
        <v>0</v>
      </c>
      <c r="T10" s="177">
        <v>0</v>
      </c>
      <c r="U10" s="177">
        <v>0</v>
      </c>
      <c r="V10" s="177">
        <v>0</v>
      </c>
      <c r="W10" s="159"/>
    </row>
    <row r="11" spans="1:475" x14ac:dyDescent="0.45">
      <c r="A11" s="157" t="s">
        <v>126</v>
      </c>
      <c r="B11" s="157" t="s">
        <v>127</v>
      </c>
      <c r="C11" s="175">
        <v>8</v>
      </c>
      <c r="D11" s="176"/>
      <c r="E11" s="157">
        <v>0</v>
      </c>
      <c r="F11" s="157">
        <v>0</v>
      </c>
      <c r="G11" s="157">
        <v>4</v>
      </c>
      <c r="H11" s="157">
        <v>4</v>
      </c>
      <c r="I11" s="177">
        <v>0</v>
      </c>
      <c r="J11" s="157">
        <v>0</v>
      </c>
      <c r="K11" s="157">
        <v>0</v>
      </c>
      <c r="L11" s="177">
        <v>0</v>
      </c>
      <c r="M11" s="177">
        <v>0</v>
      </c>
      <c r="N11" s="157"/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59"/>
    </row>
    <row r="12" spans="1:475" x14ac:dyDescent="0.45">
      <c r="A12" s="157" t="s">
        <v>128</v>
      </c>
      <c r="B12" s="157" t="s">
        <v>129</v>
      </c>
      <c r="C12" s="175">
        <v>9</v>
      </c>
      <c r="D12" s="176"/>
      <c r="E12" s="157">
        <v>1</v>
      </c>
      <c r="F12" s="157">
        <v>0</v>
      </c>
      <c r="G12" s="157">
        <v>4</v>
      </c>
      <c r="H12" s="157">
        <v>4</v>
      </c>
      <c r="I12" s="177">
        <v>0</v>
      </c>
      <c r="J12" s="157">
        <v>0</v>
      </c>
      <c r="K12" s="157">
        <v>0</v>
      </c>
      <c r="L12" s="177">
        <v>0</v>
      </c>
      <c r="M12" s="177">
        <v>0</v>
      </c>
      <c r="N12" s="157"/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59"/>
    </row>
    <row r="13" spans="1:475" x14ac:dyDescent="0.45">
      <c r="A13" s="157" t="s">
        <v>130</v>
      </c>
      <c r="B13" s="157" t="s">
        <v>131</v>
      </c>
      <c r="C13" s="175">
        <v>10</v>
      </c>
      <c r="D13" s="176"/>
      <c r="E13" s="157">
        <v>1</v>
      </c>
      <c r="F13" s="157">
        <v>1</v>
      </c>
      <c r="G13" s="157">
        <v>4</v>
      </c>
      <c r="H13" s="157">
        <v>3</v>
      </c>
      <c r="I13" s="177">
        <v>0</v>
      </c>
      <c r="J13" s="157">
        <v>0</v>
      </c>
      <c r="K13" s="157">
        <v>0</v>
      </c>
      <c r="L13" s="177">
        <v>0</v>
      </c>
      <c r="M13" s="177">
        <v>0</v>
      </c>
      <c r="N13" s="157"/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59"/>
    </row>
    <row r="14" spans="1:475" x14ac:dyDescent="0.45">
      <c r="A14" s="157" t="s">
        <v>132</v>
      </c>
      <c r="B14" s="157" t="s">
        <v>133</v>
      </c>
      <c r="C14" s="175">
        <v>11</v>
      </c>
      <c r="D14" s="176"/>
      <c r="E14" s="157">
        <v>1</v>
      </c>
      <c r="F14" s="157">
        <v>0</v>
      </c>
      <c r="G14" s="157">
        <v>4</v>
      </c>
      <c r="H14" s="157">
        <v>4</v>
      </c>
      <c r="I14" s="177">
        <v>0</v>
      </c>
      <c r="J14" s="157">
        <v>0</v>
      </c>
      <c r="K14" s="157">
        <v>0</v>
      </c>
      <c r="L14" s="177">
        <v>0</v>
      </c>
      <c r="M14" s="177">
        <v>0</v>
      </c>
      <c r="N14" s="157"/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59"/>
    </row>
    <row r="15" spans="1:475" x14ac:dyDescent="0.45">
      <c r="A15" s="157" t="s">
        <v>134</v>
      </c>
      <c r="B15" s="157" t="s">
        <v>135</v>
      </c>
      <c r="C15" s="175">
        <v>12</v>
      </c>
      <c r="D15" s="176"/>
      <c r="E15" s="157">
        <v>0</v>
      </c>
      <c r="F15" s="157">
        <v>0</v>
      </c>
      <c r="G15" s="157">
        <v>4</v>
      </c>
      <c r="H15" s="157">
        <v>4</v>
      </c>
      <c r="I15" s="177">
        <v>0</v>
      </c>
      <c r="J15" s="157">
        <v>0</v>
      </c>
      <c r="K15" s="157">
        <v>0</v>
      </c>
      <c r="L15" s="177">
        <v>0</v>
      </c>
      <c r="M15" s="177">
        <v>0</v>
      </c>
      <c r="N15" s="157"/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59"/>
    </row>
    <row r="16" spans="1:475" x14ac:dyDescent="0.45">
      <c r="A16" s="157" t="s">
        <v>136</v>
      </c>
      <c r="B16" s="157" t="s">
        <v>137</v>
      </c>
      <c r="C16" s="175">
        <v>13</v>
      </c>
      <c r="D16" s="176"/>
      <c r="E16" s="157">
        <v>1</v>
      </c>
      <c r="F16" s="157">
        <v>0</v>
      </c>
      <c r="G16" s="157">
        <v>3</v>
      </c>
      <c r="H16" s="157">
        <v>4</v>
      </c>
      <c r="I16" s="177">
        <v>0</v>
      </c>
      <c r="J16" s="157">
        <v>0</v>
      </c>
      <c r="K16" s="157">
        <v>0</v>
      </c>
      <c r="L16" s="177">
        <v>0</v>
      </c>
      <c r="M16" s="177">
        <v>0</v>
      </c>
      <c r="N16" s="157"/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1</v>
      </c>
      <c r="U16" s="177">
        <v>0</v>
      </c>
      <c r="V16" s="177">
        <v>0</v>
      </c>
      <c r="W16" s="159"/>
    </row>
    <row r="17" spans="1:23" x14ac:dyDescent="0.45">
      <c r="A17" s="157" t="s">
        <v>138</v>
      </c>
      <c r="B17" s="157" t="s">
        <v>139</v>
      </c>
      <c r="C17" s="175">
        <v>14</v>
      </c>
      <c r="D17" s="176"/>
      <c r="E17" s="157">
        <v>0</v>
      </c>
      <c r="F17" s="157">
        <v>0</v>
      </c>
      <c r="G17" s="157">
        <v>4</v>
      </c>
      <c r="H17" s="157">
        <v>4</v>
      </c>
      <c r="I17" s="177">
        <v>0</v>
      </c>
      <c r="J17" s="157">
        <v>0</v>
      </c>
      <c r="K17" s="157">
        <v>0</v>
      </c>
      <c r="L17" s="177">
        <v>0</v>
      </c>
      <c r="M17" s="177">
        <v>0</v>
      </c>
      <c r="N17" s="157"/>
      <c r="O17" s="177">
        <v>1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59"/>
    </row>
    <row r="18" spans="1:23" x14ac:dyDescent="0.45">
      <c r="A18" s="157" t="s">
        <v>140</v>
      </c>
      <c r="B18" s="157" t="s">
        <v>141</v>
      </c>
      <c r="C18" s="175">
        <v>15</v>
      </c>
      <c r="D18" s="176"/>
      <c r="E18" s="157">
        <v>1</v>
      </c>
      <c r="F18" s="157">
        <v>0</v>
      </c>
      <c r="G18" s="157">
        <v>4</v>
      </c>
      <c r="H18" s="157">
        <v>4</v>
      </c>
      <c r="I18" s="177">
        <v>0</v>
      </c>
      <c r="J18" s="157">
        <v>0</v>
      </c>
      <c r="K18" s="157">
        <v>0</v>
      </c>
      <c r="L18" s="177">
        <v>0</v>
      </c>
      <c r="M18" s="177">
        <v>0</v>
      </c>
      <c r="N18" s="157"/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59"/>
    </row>
    <row r="19" spans="1:23" x14ac:dyDescent="0.45">
      <c r="A19" s="157" t="s">
        <v>142</v>
      </c>
      <c r="B19" s="157" t="s">
        <v>143</v>
      </c>
      <c r="C19" s="175">
        <v>16</v>
      </c>
      <c r="D19" s="176"/>
      <c r="E19" s="157">
        <v>1</v>
      </c>
      <c r="F19" s="157">
        <v>0</v>
      </c>
      <c r="G19" s="157">
        <v>4</v>
      </c>
      <c r="H19" s="157">
        <v>4</v>
      </c>
      <c r="I19" s="177">
        <v>0</v>
      </c>
      <c r="J19" s="157">
        <v>0</v>
      </c>
      <c r="K19" s="157">
        <v>0</v>
      </c>
      <c r="L19" s="177">
        <v>0</v>
      </c>
      <c r="M19" s="177">
        <v>0</v>
      </c>
      <c r="N19" s="157"/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1</v>
      </c>
      <c r="U19" s="177">
        <v>0</v>
      </c>
      <c r="V19" s="177">
        <v>0</v>
      </c>
      <c r="W19" s="159"/>
    </row>
    <row r="20" spans="1:23" x14ac:dyDescent="0.45">
      <c r="A20" s="157" t="s">
        <v>144</v>
      </c>
      <c r="B20" s="157" t="s">
        <v>145</v>
      </c>
      <c r="C20" s="175">
        <v>17</v>
      </c>
      <c r="D20" s="176"/>
      <c r="E20" s="157">
        <v>1</v>
      </c>
      <c r="F20" s="157">
        <v>0</v>
      </c>
      <c r="G20" s="157">
        <v>4</v>
      </c>
      <c r="H20" s="157">
        <v>4</v>
      </c>
      <c r="I20" s="177">
        <v>0</v>
      </c>
      <c r="J20" s="157">
        <v>0</v>
      </c>
      <c r="K20" s="157">
        <v>0</v>
      </c>
      <c r="L20" s="177">
        <v>0</v>
      </c>
      <c r="M20" s="177">
        <v>0</v>
      </c>
      <c r="N20" s="157"/>
      <c r="O20" s="177">
        <v>0</v>
      </c>
      <c r="P20" s="177">
        <v>0</v>
      </c>
      <c r="Q20" s="177">
        <v>1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59"/>
    </row>
    <row r="21" spans="1:23" x14ac:dyDescent="0.45">
      <c r="A21" s="157" t="s">
        <v>146</v>
      </c>
      <c r="B21" s="157" t="s">
        <v>147</v>
      </c>
      <c r="C21" s="175">
        <v>18</v>
      </c>
      <c r="D21" s="176"/>
      <c r="E21" s="157">
        <v>1</v>
      </c>
      <c r="F21" s="157">
        <v>0</v>
      </c>
      <c r="G21" s="157">
        <v>4</v>
      </c>
      <c r="H21" s="157">
        <v>3</v>
      </c>
      <c r="I21" s="177">
        <v>0</v>
      </c>
      <c r="J21" s="157">
        <v>0</v>
      </c>
      <c r="K21" s="157">
        <v>0</v>
      </c>
      <c r="L21" s="177">
        <v>0</v>
      </c>
      <c r="M21" s="177">
        <v>0</v>
      </c>
      <c r="N21" s="157"/>
      <c r="O21" s="177">
        <v>1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59"/>
    </row>
    <row r="22" spans="1:23" x14ac:dyDescent="0.45">
      <c r="A22" s="157" t="s">
        <v>148</v>
      </c>
      <c r="B22" s="157" t="s">
        <v>149</v>
      </c>
      <c r="C22" s="175">
        <v>19</v>
      </c>
      <c r="D22" s="176"/>
      <c r="E22" s="157">
        <v>0</v>
      </c>
      <c r="F22" s="157">
        <v>0</v>
      </c>
      <c r="G22" s="157">
        <v>3</v>
      </c>
      <c r="H22" s="157">
        <v>4</v>
      </c>
      <c r="I22" s="177">
        <v>0</v>
      </c>
      <c r="J22" s="157">
        <v>0</v>
      </c>
      <c r="K22" s="157">
        <v>0</v>
      </c>
      <c r="L22" s="177">
        <v>0</v>
      </c>
      <c r="M22" s="177">
        <v>0</v>
      </c>
      <c r="N22" s="157"/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1</v>
      </c>
      <c r="W22" s="159"/>
    </row>
    <row r="23" spans="1:23" x14ac:dyDescent="0.45">
      <c r="A23" s="157" t="s">
        <v>150</v>
      </c>
      <c r="B23" s="157" t="s">
        <v>151</v>
      </c>
      <c r="C23" s="175">
        <v>20</v>
      </c>
      <c r="D23" s="176"/>
      <c r="E23" s="157">
        <v>0</v>
      </c>
      <c r="F23" s="157">
        <v>1</v>
      </c>
      <c r="G23" s="157">
        <v>3</v>
      </c>
      <c r="H23" s="157">
        <v>3</v>
      </c>
      <c r="I23" s="177">
        <v>0</v>
      </c>
      <c r="J23" s="157">
        <v>0</v>
      </c>
      <c r="K23" s="157">
        <v>0</v>
      </c>
      <c r="L23" s="177">
        <v>0</v>
      </c>
      <c r="M23" s="177">
        <v>0</v>
      </c>
      <c r="N23" s="157"/>
      <c r="O23" s="177">
        <v>1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59"/>
    </row>
    <row r="24" spans="1:23" x14ac:dyDescent="0.45">
      <c r="A24" s="157" t="s">
        <v>152</v>
      </c>
      <c r="B24" s="157" t="s">
        <v>153</v>
      </c>
      <c r="C24" s="175">
        <v>21</v>
      </c>
      <c r="D24" s="176"/>
      <c r="E24" s="157">
        <v>1</v>
      </c>
      <c r="F24" s="157">
        <v>0</v>
      </c>
      <c r="G24" s="157">
        <v>3</v>
      </c>
      <c r="H24" s="157">
        <v>3</v>
      </c>
      <c r="I24" s="177">
        <v>0</v>
      </c>
      <c r="J24" s="157">
        <v>0</v>
      </c>
      <c r="K24" s="157">
        <v>0</v>
      </c>
      <c r="L24" s="177">
        <v>0</v>
      </c>
      <c r="M24" s="177">
        <v>0</v>
      </c>
      <c r="N24" s="157"/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59"/>
    </row>
    <row r="25" spans="1:23" x14ac:dyDescent="0.45">
      <c r="A25" s="157" t="s">
        <v>154</v>
      </c>
      <c r="B25" s="157" t="s">
        <v>155</v>
      </c>
      <c r="C25" s="175">
        <v>22</v>
      </c>
      <c r="D25" s="176"/>
      <c r="E25" s="157">
        <v>0</v>
      </c>
      <c r="F25" s="157">
        <v>0</v>
      </c>
      <c r="G25" s="157">
        <v>3</v>
      </c>
      <c r="H25" s="157">
        <v>4</v>
      </c>
      <c r="I25" s="177">
        <v>0</v>
      </c>
      <c r="J25" s="157">
        <v>0</v>
      </c>
      <c r="K25" s="157">
        <v>0</v>
      </c>
      <c r="L25" s="177">
        <v>0</v>
      </c>
      <c r="M25" s="177">
        <v>0</v>
      </c>
      <c r="N25" s="157"/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59"/>
    </row>
    <row r="26" spans="1:23" x14ac:dyDescent="0.45">
      <c r="A26" s="157" t="s">
        <v>140</v>
      </c>
      <c r="B26" s="157" t="s">
        <v>156</v>
      </c>
      <c r="C26" s="175">
        <v>23</v>
      </c>
      <c r="D26" s="176"/>
      <c r="E26" s="157">
        <v>1</v>
      </c>
      <c r="F26" s="157">
        <v>1</v>
      </c>
      <c r="G26" s="157">
        <v>3</v>
      </c>
      <c r="H26" s="157">
        <v>3</v>
      </c>
      <c r="I26" s="177">
        <v>0</v>
      </c>
      <c r="J26" s="157">
        <v>0</v>
      </c>
      <c r="K26" s="157">
        <v>0</v>
      </c>
      <c r="L26" s="177">
        <v>0</v>
      </c>
      <c r="M26" s="177">
        <v>0</v>
      </c>
      <c r="N26" s="157"/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59"/>
    </row>
    <row r="27" spans="1:23" x14ac:dyDescent="0.45">
      <c r="A27" s="157" t="s">
        <v>157</v>
      </c>
      <c r="B27" s="157" t="s">
        <v>158</v>
      </c>
      <c r="C27" s="175">
        <v>24</v>
      </c>
      <c r="D27" s="176"/>
      <c r="E27" s="157">
        <v>0</v>
      </c>
      <c r="F27" s="157">
        <v>0</v>
      </c>
      <c r="G27" s="157">
        <v>3</v>
      </c>
      <c r="H27" s="157">
        <v>4</v>
      </c>
      <c r="I27" s="177">
        <v>0</v>
      </c>
      <c r="J27" s="157">
        <v>0</v>
      </c>
      <c r="K27" s="157">
        <v>0</v>
      </c>
      <c r="L27" s="177">
        <v>0</v>
      </c>
      <c r="M27" s="177">
        <v>0</v>
      </c>
      <c r="N27" s="157"/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59"/>
    </row>
    <row r="28" spans="1:23" x14ac:dyDescent="0.45">
      <c r="A28" s="157" t="s">
        <v>159</v>
      </c>
      <c r="B28" s="157" t="s">
        <v>160</v>
      </c>
      <c r="C28" s="175">
        <v>25</v>
      </c>
      <c r="D28" s="176"/>
      <c r="E28" s="157">
        <v>1</v>
      </c>
      <c r="F28" s="157">
        <v>1</v>
      </c>
      <c r="G28" s="157">
        <v>3</v>
      </c>
      <c r="H28" s="157">
        <v>4</v>
      </c>
      <c r="I28" s="177">
        <v>0</v>
      </c>
      <c r="J28" s="157">
        <v>0</v>
      </c>
      <c r="K28" s="157">
        <v>0</v>
      </c>
      <c r="L28" s="177">
        <v>0</v>
      </c>
      <c r="M28" s="177">
        <v>0</v>
      </c>
      <c r="N28" s="157"/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59"/>
    </row>
    <row r="29" spans="1:23" x14ac:dyDescent="0.45">
      <c r="A29" s="157" t="s">
        <v>161</v>
      </c>
      <c r="B29" s="157" t="s">
        <v>162</v>
      </c>
      <c r="C29" s="175">
        <v>26</v>
      </c>
      <c r="D29" s="176"/>
      <c r="E29" s="157">
        <v>0</v>
      </c>
      <c r="F29" s="157">
        <v>1</v>
      </c>
      <c r="G29" s="157">
        <v>3</v>
      </c>
      <c r="H29" s="157">
        <v>4</v>
      </c>
      <c r="I29" s="177">
        <v>0</v>
      </c>
      <c r="J29" s="157">
        <v>0</v>
      </c>
      <c r="K29" s="157">
        <v>0</v>
      </c>
      <c r="L29" s="177">
        <v>0</v>
      </c>
      <c r="M29" s="177">
        <v>0</v>
      </c>
      <c r="N29" s="157"/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59"/>
    </row>
    <row r="30" spans="1:23" x14ac:dyDescent="0.45">
      <c r="A30" s="157" t="s">
        <v>163</v>
      </c>
      <c r="B30" s="157" t="s">
        <v>164</v>
      </c>
      <c r="C30" s="175">
        <v>27</v>
      </c>
      <c r="D30" s="176"/>
      <c r="E30" s="157">
        <v>1</v>
      </c>
      <c r="F30" s="157">
        <v>0</v>
      </c>
      <c r="G30" s="157">
        <v>3</v>
      </c>
      <c r="H30" s="157">
        <v>3</v>
      </c>
      <c r="I30" s="177">
        <v>0</v>
      </c>
      <c r="J30" s="157">
        <v>0</v>
      </c>
      <c r="K30" s="157">
        <v>0</v>
      </c>
      <c r="L30" s="177">
        <v>0</v>
      </c>
      <c r="M30" s="177">
        <v>0</v>
      </c>
      <c r="N30" s="157"/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59"/>
    </row>
    <row r="31" spans="1:23" x14ac:dyDescent="0.45">
      <c r="A31" s="157" t="s">
        <v>165</v>
      </c>
      <c r="B31" s="157" t="s">
        <v>145</v>
      </c>
      <c r="C31" s="175">
        <v>29</v>
      </c>
      <c r="D31" s="176"/>
      <c r="E31" s="157">
        <v>1</v>
      </c>
      <c r="F31" s="157">
        <v>0</v>
      </c>
      <c r="G31" s="157">
        <v>3</v>
      </c>
      <c r="H31" s="157">
        <v>3</v>
      </c>
      <c r="I31" s="177">
        <v>0</v>
      </c>
      <c r="J31" s="157">
        <v>0</v>
      </c>
      <c r="K31" s="157">
        <v>0</v>
      </c>
      <c r="L31" s="177">
        <v>0</v>
      </c>
      <c r="M31" s="177">
        <v>0</v>
      </c>
      <c r="N31" s="157"/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1</v>
      </c>
      <c r="U31" s="177">
        <v>0</v>
      </c>
      <c r="V31" s="177">
        <v>0</v>
      </c>
      <c r="W31" s="159"/>
    </row>
    <row r="32" spans="1:23" x14ac:dyDescent="0.45">
      <c r="A32" s="157" t="s">
        <v>166</v>
      </c>
      <c r="B32" s="157" t="s">
        <v>167</v>
      </c>
      <c r="C32" s="175">
        <v>30</v>
      </c>
      <c r="D32" s="176"/>
      <c r="E32" s="157">
        <v>0</v>
      </c>
      <c r="F32" s="157">
        <v>0</v>
      </c>
      <c r="G32" s="157">
        <v>3</v>
      </c>
      <c r="H32" s="157">
        <v>4</v>
      </c>
      <c r="I32" s="177">
        <v>0</v>
      </c>
      <c r="J32" s="157">
        <v>0</v>
      </c>
      <c r="K32" s="157">
        <v>0</v>
      </c>
      <c r="L32" s="177">
        <v>0</v>
      </c>
      <c r="M32" s="177">
        <v>0</v>
      </c>
      <c r="N32" s="157"/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59"/>
    </row>
    <row r="33" spans="1:23" x14ac:dyDescent="0.45">
      <c r="A33" s="157" t="s">
        <v>168</v>
      </c>
      <c r="B33" s="157" t="s">
        <v>169</v>
      </c>
      <c r="C33" s="175">
        <v>31</v>
      </c>
      <c r="D33" s="176"/>
      <c r="E33" s="157">
        <v>0</v>
      </c>
      <c r="F33" s="157">
        <v>0</v>
      </c>
      <c r="G33" s="157">
        <v>3</v>
      </c>
      <c r="H33" s="157">
        <v>4</v>
      </c>
      <c r="I33" s="177">
        <v>0</v>
      </c>
      <c r="J33" s="157">
        <v>0</v>
      </c>
      <c r="K33" s="157">
        <v>0</v>
      </c>
      <c r="L33" s="177">
        <v>0</v>
      </c>
      <c r="M33" s="177">
        <v>0</v>
      </c>
      <c r="N33" s="157"/>
      <c r="O33" s="177">
        <v>1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59"/>
    </row>
    <row r="34" spans="1:23" x14ac:dyDescent="0.45">
      <c r="A34" s="157" t="s">
        <v>170</v>
      </c>
      <c r="B34" s="157" t="s">
        <v>171</v>
      </c>
      <c r="C34" s="175">
        <v>32</v>
      </c>
      <c r="D34" s="176"/>
      <c r="E34" s="157">
        <v>1</v>
      </c>
      <c r="F34" s="157">
        <v>0</v>
      </c>
      <c r="G34" s="157">
        <v>3</v>
      </c>
      <c r="H34" s="157">
        <v>4</v>
      </c>
      <c r="I34" s="177">
        <v>0</v>
      </c>
      <c r="J34" s="157">
        <v>0</v>
      </c>
      <c r="K34" s="157">
        <v>0</v>
      </c>
      <c r="L34" s="177">
        <v>0</v>
      </c>
      <c r="M34" s="177">
        <v>0</v>
      </c>
      <c r="N34" s="157"/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59"/>
    </row>
    <row r="35" spans="1:23" x14ac:dyDescent="0.45">
      <c r="A35" s="157" t="s">
        <v>172</v>
      </c>
      <c r="B35" s="157" t="s">
        <v>173</v>
      </c>
      <c r="C35" s="175">
        <v>33</v>
      </c>
      <c r="D35" s="176"/>
      <c r="E35" s="157">
        <v>0</v>
      </c>
      <c r="F35" s="157">
        <v>1</v>
      </c>
      <c r="G35" s="157">
        <v>3</v>
      </c>
      <c r="H35" s="157">
        <v>4</v>
      </c>
      <c r="I35" s="177">
        <v>0</v>
      </c>
      <c r="J35" s="157">
        <v>0</v>
      </c>
      <c r="K35" s="157">
        <v>0</v>
      </c>
      <c r="L35" s="177">
        <v>0</v>
      </c>
      <c r="M35" s="177">
        <v>0</v>
      </c>
      <c r="N35" s="157"/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59"/>
    </row>
    <row r="36" spans="1:23" x14ac:dyDescent="0.45">
      <c r="A36" s="157" t="s">
        <v>174</v>
      </c>
      <c r="B36" s="157" t="s">
        <v>175</v>
      </c>
      <c r="C36" s="175">
        <v>34</v>
      </c>
      <c r="D36" s="176"/>
      <c r="E36" s="157">
        <v>1</v>
      </c>
      <c r="F36" s="157">
        <v>1</v>
      </c>
      <c r="G36" s="157">
        <v>3</v>
      </c>
      <c r="H36" s="157">
        <v>4</v>
      </c>
      <c r="I36" s="177">
        <v>0</v>
      </c>
      <c r="J36" s="157">
        <v>0</v>
      </c>
      <c r="K36" s="157">
        <v>0</v>
      </c>
      <c r="L36" s="177">
        <v>0</v>
      </c>
      <c r="M36" s="177">
        <v>0</v>
      </c>
      <c r="N36" s="157"/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59"/>
    </row>
    <row r="37" spans="1:23" x14ac:dyDescent="0.45">
      <c r="A37" s="157" t="s">
        <v>176</v>
      </c>
      <c r="B37" s="157" t="s">
        <v>177</v>
      </c>
      <c r="C37" s="175">
        <v>35</v>
      </c>
      <c r="D37" s="176"/>
      <c r="E37" s="157">
        <v>1</v>
      </c>
      <c r="F37" s="157">
        <v>0</v>
      </c>
      <c r="G37" s="157">
        <v>3</v>
      </c>
      <c r="H37" s="157">
        <v>4</v>
      </c>
      <c r="I37" s="177">
        <v>0</v>
      </c>
      <c r="J37" s="157">
        <v>0</v>
      </c>
      <c r="K37" s="157">
        <v>0</v>
      </c>
      <c r="L37" s="177">
        <v>0</v>
      </c>
      <c r="M37" s="177">
        <v>0</v>
      </c>
      <c r="N37" s="157"/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-1</v>
      </c>
      <c r="U37" s="177">
        <v>0</v>
      </c>
      <c r="V37" s="177">
        <v>0</v>
      </c>
      <c r="W37" s="159"/>
    </row>
    <row r="38" spans="1:23" x14ac:dyDescent="0.45">
      <c r="A38" s="157" t="s">
        <v>178</v>
      </c>
      <c r="B38" s="157" t="s">
        <v>131</v>
      </c>
      <c r="C38" s="175">
        <v>36</v>
      </c>
      <c r="D38" s="176"/>
      <c r="E38" s="157">
        <v>1</v>
      </c>
      <c r="F38" s="157">
        <v>0</v>
      </c>
      <c r="G38" s="157">
        <v>3</v>
      </c>
      <c r="H38" s="157">
        <v>3</v>
      </c>
      <c r="I38" s="177">
        <v>1</v>
      </c>
      <c r="J38" s="157">
        <v>0</v>
      </c>
      <c r="K38" s="157">
        <v>0</v>
      </c>
      <c r="L38" s="177">
        <v>0</v>
      </c>
      <c r="M38" s="177">
        <v>0</v>
      </c>
      <c r="N38" s="157"/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59"/>
    </row>
    <row r="39" spans="1:23" x14ac:dyDescent="0.45">
      <c r="A39" s="157" t="s">
        <v>179</v>
      </c>
      <c r="B39" s="157" t="s">
        <v>180</v>
      </c>
      <c r="C39" s="175">
        <v>37</v>
      </c>
      <c r="D39" s="176"/>
      <c r="E39" s="157">
        <v>0</v>
      </c>
      <c r="F39" s="157">
        <v>1</v>
      </c>
      <c r="G39" s="157">
        <v>3</v>
      </c>
      <c r="H39" s="157">
        <v>4</v>
      </c>
      <c r="I39" s="177">
        <v>0</v>
      </c>
      <c r="J39" s="157">
        <v>0</v>
      </c>
      <c r="K39" s="157">
        <v>0</v>
      </c>
      <c r="L39" s="177">
        <v>0</v>
      </c>
      <c r="M39" s="177">
        <v>0</v>
      </c>
      <c r="N39" s="157"/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59"/>
    </row>
    <row r="40" spans="1:23" x14ac:dyDescent="0.45">
      <c r="A40" s="157" t="s">
        <v>181</v>
      </c>
      <c r="B40" s="157" t="s">
        <v>182</v>
      </c>
      <c r="C40" s="175">
        <v>38</v>
      </c>
      <c r="D40" s="176"/>
      <c r="E40" s="157">
        <v>1</v>
      </c>
      <c r="F40" s="157">
        <v>0</v>
      </c>
      <c r="G40" s="157">
        <v>3</v>
      </c>
      <c r="H40" s="157">
        <v>3</v>
      </c>
      <c r="I40" s="177">
        <v>0</v>
      </c>
      <c r="J40" s="157">
        <v>0</v>
      </c>
      <c r="K40" s="157">
        <v>0</v>
      </c>
      <c r="L40" s="177">
        <v>0</v>
      </c>
      <c r="M40" s="177">
        <v>0</v>
      </c>
      <c r="N40" s="157"/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59"/>
    </row>
    <row r="41" spans="1:23" x14ac:dyDescent="0.45">
      <c r="A41" s="157" t="s">
        <v>183</v>
      </c>
      <c r="B41" s="157" t="s">
        <v>184</v>
      </c>
      <c r="C41" s="175">
        <v>39</v>
      </c>
      <c r="D41" s="176"/>
      <c r="E41" s="157">
        <v>1</v>
      </c>
      <c r="F41" s="157">
        <v>1</v>
      </c>
      <c r="G41" s="157">
        <v>3</v>
      </c>
      <c r="H41" s="157">
        <v>3</v>
      </c>
      <c r="I41" s="177">
        <v>1</v>
      </c>
      <c r="J41" s="157">
        <v>0</v>
      </c>
      <c r="K41" s="157">
        <v>0</v>
      </c>
      <c r="L41" s="177">
        <v>0</v>
      </c>
      <c r="M41" s="177">
        <v>0</v>
      </c>
      <c r="N41" s="157"/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59"/>
    </row>
    <row r="42" spans="1:23" x14ac:dyDescent="0.45">
      <c r="A42" s="157" t="s">
        <v>185</v>
      </c>
      <c r="B42" s="157" t="s">
        <v>186</v>
      </c>
      <c r="C42" s="175">
        <v>40</v>
      </c>
      <c r="D42" s="176"/>
      <c r="E42" s="157">
        <v>1</v>
      </c>
      <c r="F42" s="157">
        <v>1</v>
      </c>
      <c r="G42" s="157">
        <v>3</v>
      </c>
      <c r="H42" s="157">
        <v>4</v>
      </c>
      <c r="I42" s="177">
        <v>0</v>
      </c>
      <c r="J42" s="157">
        <v>0</v>
      </c>
      <c r="K42" s="157">
        <v>0</v>
      </c>
      <c r="L42" s="177">
        <v>0</v>
      </c>
      <c r="M42" s="177">
        <v>0</v>
      </c>
      <c r="N42" s="157"/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59"/>
    </row>
    <row r="43" spans="1:23" x14ac:dyDescent="0.45">
      <c r="A43" s="157" t="s">
        <v>187</v>
      </c>
      <c r="B43" s="157" t="s">
        <v>188</v>
      </c>
      <c r="C43" s="175">
        <v>41</v>
      </c>
      <c r="D43" s="176"/>
      <c r="E43" s="157">
        <v>1</v>
      </c>
      <c r="F43" s="157">
        <v>0</v>
      </c>
      <c r="G43" s="157">
        <v>3</v>
      </c>
      <c r="H43" s="157">
        <v>4</v>
      </c>
      <c r="I43" s="177">
        <v>0</v>
      </c>
      <c r="J43" s="157">
        <v>0</v>
      </c>
      <c r="K43" s="157">
        <v>0</v>
      </c>
      <c r="L43" s="177">
        <v>0</v>
      </c>
      <c r="M43" s="177">
        <v>0</v>
      </c>
      <c r="N43" s="157"/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59"/>
    </row>
    <row r="44" spans="1:23" x14ac:dyDescent="0.45">
      <c r="A44" s="157" t="s">
        <v>189</v>
      </c>
      <c r="B44" s="157" t="s">
        <v>190</v>
      </c>
      <c r="C44" s="175">
        <v>42</v>
      </c>
      <c r="D44" s="176"/>
      <c r="E44" s="157">
        <v>1</v>
      </c>
      <c r="F44" s="157">
        <v>1</v>
      </c>
      <c r="G44" s="157">
        <v>3</v>
      </c>
      <c r="H44" s="157">
        <v>4</v>
      </c>
      <c r="I44" s="177">
        <v>0</v>
      </c>
      <c r="J44" s="157">
        <v>0</v>
      </c>
      <c r="K44" s="157">
        <v>0</v>
      </c>
      <c r="L44" s="177">
        <v>0</v>
      </c>
      <c r="M44" s="177">
        <v>0</v>
      </c>
      <c r="N44" s="157"/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59"/>
    </row>
    <row r="45" spans="1:23" x14ac:dyDescent="0.45">
      <c r="A45" s="157" t="s">
        <v>191</v>
      </c>
      <c r="B45" s="157" t="s">
        <v>192</v>
      </c>
      <c r="C45" s="175">
        <v>43</v>
      </c>
      <c r="D45" s="176"/>
      <c r="E45" s="157">
        <v>0</v>
      </c>
      <c r="F45" s="157">
        <v>1</v>
      </c>
      <c r="G45" s="157">
        <v>3</v>
      </c>
      <c r="H45" s="157">
        <v>4</v>
      </c>
      <c r="I45" s="177">
        <v>0</v>
      </c>
      <c r="J45" s="157">
        <v>0</v>
      </c>
      <c r="K45" s="157">
        <v>0</v>
      </c>
      <c r="L45" s="177">
        <v>0</v>
      </c>
      <c r="M45" s="177">
        <v>0</v>
      </c>
      <c r="N45" s="157"/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59"/>
    </row>
    <row r="46" spans="1:23" x14ac:dyDescent="0.45">
      <c r="A46" s="157" t="s">
        <v>193</v>
      </c>
      <c r="B46" s="157" t="s">
        <v>194</v>
      </c>
      <c r="C46" s="175">
        <v>44</v>
      </c>
      <c r="D46" s="176"/>
      <c r="E46" s="157">
        <v>1</v>
      </c>
      <c r="F46" s="157">
        <v>1</v>
      </c>
      <c r="G46" s="157">
        <v>3</v>
      </c>
      <c r="H46" s="157">
        <v>4</v>
      </c>
      <c r="I46" s="177">
        <v>0</v>
      </c>
      <c r="J46" s="157">
        <v>0</v>
      </c>
      <c r="K46" s="157">
        <v>0</v>
      </c>
      <c r="L46" s="177">
        <v>0</v>
      </c>
      <c r="M46" s="177">
        <v>0</v>
      </c>
      <c r="N46" s="157"/>
      <c r="O46" s="177">
        <v>0</v>
      </c>
      <c r="P46" s="177">
        <v>1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59"/>
    </row>
    <row r="47" spans="1:23" x14ac:dyDescent="0.45">
      <c r="A47" s="157" t="s">
        <v>195</v>
      </c>
      <c r="B47" s="157" t="s">
        <v>196</v>
      </c>
      <c r="C47" s="175">
        <v>45</v>
      </c>
      <c r="D47" s="176"/>
      <c r="E47" s="157">
        <v>0</v>
      </c>
      <c r="F47" s="157">
        <v>1</v>
      </c>
      <c r="G47" s="157">
        <v>3</v>
      </c>
      <c r="H47" s="157">
        <v>2</v>
      </c>
      <c r="I47" s="177">
        <v>1</v>
      </c>
      <c r="J47" s="157">
        <v>0</v>
      </c>
      <c r="K47" s="157">
        <v>0</v>
      </c>
      <c r="L47" s="177">
        <v>0</v>
      </c>
      <c r="M47" s="177">
        <v>0</v>
      </c>
      <c r="N47" s="157"/>
      <c r="O47" s="177">
        <v>0</v>
      </c>
      <c r="P47" s="177">
        <v>0</v>
      </c>
      <c r="Q47" s="177">
        <v>0</v>
      </c>
      <c r="R47" s="177">
        <v>1</v>
      </c>
      <c r="S47" s="177">
        <v>0</v>
      </c>
      <c r="T47" s="177">
        <v>0</v>
      </c>
      <c r="U47" s="177">
        <v>0</v>
      </c>
      <c r="V47" s="177">
        <v>0</v>
      </c>
      <c r="W47" s="159"/>
    </row>
    <row r="48" spans="1:23" x14ac:dyDescent="0.45">
      <c r="A48" s="157" t="s">
        <v>197</v>
      </c>
      <c r="B48" s="157" t="s">
        <v>198</v>
      </c>
      <c r="C48" s="175">
        <v>46</v>
      </c>
      <c r="D48" s="176"/>
      <c r="E48" s="157">
        <v>1</v>
      </c>
      <c r="F48" s="157">
        <v>0</v>
      </c>
      <c r="G48" s="157">
        <v>3</v>
      </c>
      <c r="H48" s="157">
        <v>2</v>
      </c>
      <c r="I48" s="177">
        <v>0</v>
      </c>
      <c r="J48" s="157">
        <v>0</v>
      </c>
      <c r="K48" s="157">
        <v>0</v>
      </c>
      <c r="L48" s="177">
        <v>0</v>
      </c>
      <c r="M48" s="177">
        <v>0</v>
      </c>
      <c r="N48" s="157"/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1</v>
      </c>
      <c r="W48" s="159"/>
    </row>
    <row r="49" spans="1:23" x14ac:dyDescent="0.45">
      <c r="A49" s="157" t="s">
        <v>199</v>
      </c>
      <c r="B49" s="157" t="s">
        <v>200</v>
      </c>
      <c r="C49" s="175">
        <v>47</v>
      </c>
      <c r="D49" s="176"/>
      <c r="E49" s="157">
        <v>1</v>
      </c>
      <c r="F49" s="157">
        <v>0</v>
      </c>
      <c r="G49" s="157">
        <v>3</v>
      </c>
      <c r="H49" s="157">
        <v>4</v>
      </c>
      <c r="I49" s="177">
        <v>0</v>
      </c>
      <c r="J49" s="157">
        <v>0</v>
      </c>
      <c r="K49" s="157">
        <v>0</v>
      </c>
      <c r="L49" s="177">
        <v>0</v>
      </c>
      <c r="M49" s="177">
        <v>0</v>
      </c>
      <c r="N49" s="157"/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59"/>
    </row>
    <row r="50" spans="1:23" x14ac:dyDescent="0.45">
      <c r="A50" s="157" t="s">
        <v>201</v>
      </c>
      <c r="B50" s="157" t="s">
        <v>202</v>
      </c>
      <c r="C50" s="175">
        <v>48</v>
      </c>
      <c r="D50" s="176"/>
      <c r="E50" s="157">
        <v>0</v>
      </c>
      <c r="F50" s="157">
        <v>0</v>
      </c>
      <c r="G50" s="157">
        <v>3</v>
      </c>
      <c r="H50" s="157">
        <v>1</v>
      </c>
      <c r="I50" s="177">
        <v>1</v>
      </c>
      <c r="J50" s="157">
        <v>0</v>
      </c>
      <c r="K50" s="157">
        <v>0</v>
      </c>
      <c r="L50" s="177">
        <v>0</v>
      </c>
      <c r="M50" s="177">
        <v>0</v>
      </c>
      <c r="N50" s="157"/>
      <c r="O50" s="177">
        <v>0</v>
      </c>
      <c r="P50" s="177">
        <v>0</v>
      </c>
      <c r="Q50" s="177">
        <v>1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59"/>
    </row>
    <row r="51" spans="1:23" x14ac:dyDescent="0.45">
      <c r="A51" s="157" t="s">
        <v>203</v>
      </c>
      <c r="B51" s="157" t="s">
        <v>204</v>
      </c>
      <c r="C51" s="175">
        <v>49</v>
      </c>
      <c r="D51" s="176"/>
      <c r="E51" s="157">
        <v>0</v>
      </c>
      <c r="F51" s="157">
        <v>1</v>
      </c>
      <c r="G51" s="157">
        <v>3</v>
      </c>
      <c r="H51" s="157">
        <v>4</v>
      </c>
      <c r="I51" s="177">
        <v>0</v>
      </c>
      <c r="J51" s="157">
        <v>0</v>
      </c>
      <c r="K51" s="157">
        <v>0</v>
      </c>
      <c r="L51" s="177">
        <v>0</v>
      </c>
      <c r="M51" s="177">
        <v>0</v>
      </c>
      <c r="N51" s="157"/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59"/>
    </row>
    <row r="52" spans="1:23" x14ac:dyDescent="0.45">
      <c r="A52" s="157" t="s">
        <v>205</v>
      </c>
      <c r="B52" s="157" t="s">
        <v>206</v>
      </c>
      <c r="C52" s="175">
        <v>50</v>
      </c>
      <c r="D52" s="176"/>
      <c r="E52" s="157">
        <v>1</v>
      </c>
      <c r="F52" s="157">
        <v>0</v>
      </c>
      <c r="G52" s="157">
        <v>3</v>
      </c>
      <c r="H52" s="157">
        <v>4</v>
      </c>
      <c r="I52" s="177">
        <v>0</v>
      </c>
      <c r="J52" s="157">
        <v>0</v>
      </c>
      <c r="K52" s="157">
        <v>0</v>
      </c>
      <c r="L52" s="177">
        <v>0</v>
      </c>
      <c r="M52" s="177">
        <v>0</v>
      </c>
      <c r="N52" s="157"/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59"/>
    </row>
    <row r="53" spans="1:23" x14ac:dyDescent="0.45">
      <c r="A53" s="157" t="s">
        <v>207</v>
      </c>
      <c r="B53" s="157" t="s">
        <v>208</v>
      </c>
      <c r="C53" s="175">
        <v>51</v>
      </c>
      <c r="D53" s="176"/>
      <c r="E53" s="157">
        <v>0</v>
      </c>
      <c r="F53" s="157">
        <v>1</v>
      </c>
      <c r="G53" s="157">
        <v>3</v>
      </c>
      <c r="H53" s="157">
        <v>4</v>
      </c>
      <c r="I53" s="177">
        <v>0</v>
      </c>
      <c r="J53" s="157">
        <v>0</v>
      </c>
      <c r="K53" s="157">
        <v>0</v>
      </c>
      <c r="L53" s="177">
        <v>0</v>
      </c>
      <c r="M53" s="177">
        <v>0</v>
      </c>
      <c r="N53" s="157"/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59"/>
    </row>
    <row r="54" spans="1:23" x14ac:dyDescent="0.45">
      <c r="A54" s="157" t="s">
        <v>209</v>
      </c>
      <c r="B54" s="157" t="s">
        <v>206</v>
      </c>
      <c r="C54" s="175">
        <v>52</v>
      </c>
      <c r="D54" s="176"/>
      <c r="E54" s="157">
        <v>1</v>
      </c>
      <c r="F54" s="157">
        <v>0</v>
      </c>
      <c r="G54" s="157">
        <v>3</v>
      </c>
      <c r="H54" s="157">
        <v>4</v>
      </c>
      <c r="I54" s="177">
        <v>0</v>
      </c>
      <c r="J54" s="157">
        <v>0</v>
      </c>
      <c r="K54" s="157">
        <v>0</v>
      </c>
      <c r="L54" s="177">
        <v>0</v>
      </c>
      <c r="M54" s="177">
        <v>0</v>
      </c>
      <c r="N54" s="157"/>
      <c r="O54" s="177">
        <v>0</v>
      </c>
      <c r="P54" s="177">
        <v>0</v>
      </c>
      <c r="Q54" s="177">
        <v>0</v>
      </c>
      <c r="R54" s="177">
        <v>0</v>
      </c>
      <c r="S54" s="177">
        <v>-1</v>
      </c>
      <c r="T54" s="177">
        <v>-1</v>
      </c>
      <c r="U54" s="177">
        <v>0</v>
      </c>
      <c r="V54" s="177">
        <v>0</v>
      </c>
      <c r="W54" s="159"/>
    </row>
    <row r="55" spans="1:23" x14ac:dyDescent="0.45">
      <c r="A55" s="157" t="s">
        <v>210</v>
      </c>
      <c r="B55" s="157" t="s">
        <v>119</v>
      </c>
      <c r="C55" s="175">
        <v>53</v>
      </c>
      <c r="D55" s="176"/>
      <c r="E55" s="157">
        <v>0</v>
      </c>
      <c r="F55" s="157">
        <v>0</v>
      </c>
      <c r="G55" s="157">
        <v>3</v>
      </c>
      <c r="H55" s="157">
        <v>4</v>
      </c>
      <c r="I55" s="177">
        <v>0</v>
      </c>
      <c r="J55" s="157">
        <v>0</v>
      </c>
      <c r="K55" s="157">
        <v>0</v>
      </c>
      <c r="L55" s="177">
        <v>0</v>
      </c>
      <c r="M55" s="177">
        <v>0</v>
      </c>
      <c r="N55" s="157"/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59"/>
    </row>
    <row r="56" spans="1:23" x14ac:dyDescent="0.45">
      <c r="A56" s="157" t="s">
        <v>211</v>
      </c>
      <c r="B56" s="157" t="s">
        <v>212</v>
      </c>
      <c r="C56" s="175">
        <v>54</v>
      </c>
      <c r="D56" s="176"/>
      <c r="E56" s="157">
        <v>0</v>
      </c>
      <c r="F56" s="157">
        <v>1</v>
      </c>
      <c r="G56" s="157">
        <v>3</v>
      </c>
      <c r="H56" s="157">
        <v>3</v>
      </c>
      <c r="I56" s="177">
        <v>0</v>
      </c>
      <c r="J56" s="157">
        <v>0</v>
      </c>
      <c r="K56" s="157">
        <v>0</v>
      </c>
      <c r="L56" s="177">
        <v>0</v>
      </c>
      <c r="M56" s="177">
        <v>0</v>
      </c>
      <c r="N56" s="157"/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59"/>
    </row>
    <row r="57" spans="1:23" x14ac:dyDescent="0.45">
      <c r="A57" s="157" t="s">
        <v>213</v>
      </c>
      <c r="B57" s="157" t="s">
        <v>214</v>
      </c>
      <c r="C57" s="175">
        <v>55</v>
      </c>
      <c r="D57" s="176"/>
      <c r="E57" s="157">
        <v>1</v>
      </c>
      <c r="F57" s="157">
        <v>1</v>
      </c>
      <c r="G57" s="157">
        <v>3</v>
      </c>
      <c r="H57" s="157">
        <v>4</v>
      </c>
      <c r="I57" s="177">
        <v>0</v>
      </c>
      <c r="J57" s="157">
        <v>0</v>
      </c>
      <c r="K57" s="157">
        <v>0</v>
      </c>
      <c r="L57" s="177">
        <v>0</v>
      </c>
      <c r="M57" s="177">
        <v>0</v>
      </c>
      <c r="N57" s="157"/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59"/>
    </row>
    <row r="58" spans="1:23" x14ac:dyDescent="0.45">
      <c r="A58" s="157" t="s">
        <v>215</v>
      </c>
      <c r="B58" s="157" t="s">
        <v>216</v>
      </c>
      <c r="C58" s="175">
        <v>56</v>
      </c>
      <c r="D58" s="176"/>
      <c r="E58" s="157">
        <v>1</v>
      </c>
      <c r="F58" s="157">
        <v>1</v>
      </c>
      <c r="G58" s="157">
        <v>3</v>
      </c>
      <c r="H58" s="157">
        <v>2</v>
      </c>
      <c r="I58" s="177">
        <v>1</v>
      </c>
      <c r="J58" s="157">
        <v>0</v>
      </c>
      <c r="K58" s="157">
        <v>0</v>
      </c>
      <c r="L58" s="177">
        <v>0</v>
      </c>
      <c r="M58" s="177">
        <v>0</v>
      </c>
      <c r="N58" s="157"/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59"/>
    </row>
    <row r="59" spans="1:23" x14ac:dyDescent="0.45">
      <c r="A59" s="157" t="s">
        <v>152</v>
      </c>
      <c r="B59" s="157" t="s">
        <v>137</v>
      </c>
      <c r="C59" s="175">
        <v>57</v>
      </c>
      <c r="D59" s="176"/>
      <c r="E59" s="157">
        <v>1</v>
      </c>
      <c r="F59" s="157">
        <v>0</v>
      </c>
      <c r="G59" s="157">
        <v>3</v>
      </c>
      <c r="H59" s="157">
        <v>4</v>
      </c>
      <c r="I59" s="177">
        <v>0</v>
      </c>
      <c r="J59" s="157">
        <v>1</v>
      </c>
      <c r="K59" s="157">
        <v>0</v>
      </c>
      <c r="L59" s="177">
        <v>0</v>
      </c>
      <c r="M59" s="177">
        <v>0</v>
      </c>
      <c r="N59" s="157"/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59"/>
    </row>
    <row r="60" spans="1:23" x14ac:dyDescent="0.45">
      <c r="A60" s="157" t="s">
        <v>217</v>
      </c>
      <c r="B60" s="157" t="s">
        <v>218</v>
      </c>
      <c r="C60" s="175">
        <v>58</v>
      </c>
      <c r="D60" s="176"/>
      <c r="E60" s="157">
        <v>1</v>
      </c>
      <c r="F60" s="157">
        <v>1</v>
      </c>
      <c r="G60" s="157">
        <v>3</v>
      </c>
      <c r="H60" s="157">
        <v>4</v>
      </c>
      <c r="I60" s="177">
        <v>0</v>
      </c>
      <c r="J60" s="157">
        <v>0</v>
      </c>
      <c r="K60" s="157">
        <v>0</v>
      </c>
      <c r="L60" s="177">
        <v>0</v>
      </c>
      <c r="M60" s="177">
        <v>0</v>
      </c>
      <c r="N60" s="157"/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59"/>
    </row>
    <row r="61" spans="1:23" x14ac:dyDescent="0.45">
      <c r="A61" s="157" t="s">
        <v>219</v>
      </c>
      <c r="B61" s="157" t="s">
        <v>220</v>
      </c>
      <c r="C61" s="175">
        <v>59</v>
      </c>
      <c r="D61" s="176"/>
      <c r="E61" s="157">
        <v>0</v>
      </c>
      <c r="F61" s="157">
        <v>0</v>
      </c>
      <c r="G61" s="157">
        <v>3</v>
      </c>
      <c r="H61" s="157">
        <v>4</v>
      </c>
      <c r="I61" s="177">
        <v>0</v>
      </c>
      <c r="J61" s="157">
        <v>0</v>
      </c>
      <c r="K61" s="157">
        <v>0</v>
      </c>
      <c r="L61" s="177">
        <v>0</v>
      </c>
      <c r="M61" s="177">
        <v>0</v>
      </c>
      <c r="N61" s="157"/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59"/>
    </row>
    <row r="62" spans="1:23" x14ac:dyDescent="0.45">
      <c r="A62" s="157" t="s">
        <v>221</v>
      </c>
      <c r="B62" s="157" t="s">
        <v>222</v>
      </c>
      <c r="C62" s="175">
        <v>60</v>
      </c>
      <c r="D62" s="176"/>
      <c r="E62" s="157">
        <v>0</v>
      </c>
      <c r="F62" s="157">
        <v>1</v>
      </c>
      <c r="G62" s="157">
        <v>3</v>
      </c>
      <c r="H62" s="157">
        <v>4</v>
      </c>
      <c r="I62" s="177">
        <v>0</v>
      </c>
      <c r="J62" s="157">
        <v>0</v>
      </c>
      <c r="K62" s="157">
        <v>0</v>
      </c>
      <c r="L62" s="177">
        <v>0</v>
      </c>
      <c r="M62" s="177">
        <v>0</v>
      </c>
      <c r="N62" s="157"/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59"/>
    </row>
    <row r="63" spans="1:23" x14ac:dyDescent="0.45">
      <c r="A63" s="157" t="s">
        <v>223</v>
      </c>
      <c r="B63" s="157" t="s">
        <v>224</v>
      </c>
      <c r="C63" s="175">
        <v>61</v>
      </c>
      <c r="D63" s="176"/>
      <c r="E63" s="157">
        <v>1</v>
      </c>
      <c r="F63" s="157">
        <v>1</v>
      </c>
      <c r="G63" s="157">
        <v>3</v>
      </c>
      <c r="H63" s="157">
        <v>4</v>
      </c>
      <c r="I63" s="177">
        <v>0</v>
      </c>
      <c r="J63" s="157">
        <v>0</v>
      </c>
      <c r="K63" s="157">
        <v>0</v>
      </c>
      <c r="L63" s="177">
        <v>0</v>
      </c>
      <c r="M63" s="177">
        <v>0</v>
      </c>
      <c r="N63" s="157"/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59"/>
    </row>
    <row r="64" spans="1:23" x14ac:dyDescent="0.45">
      <c r="A64" s="157" t="s">
        <v>225</v>
      </c>
      <c r="B64" s="157" t="s">
        <v>226</v>
      </c>
      <c r="C64" s="175">
        <v>62</v>
      </c>
      <c r="D64" s="176"/>
      <c r="E64" s="157">
        <v>0</v>
      </c>
      <c r="F64" s="157">
        <v>1</v>
      </c>
      <c r="G64" s="157">
        <v>3</v>
      </c>
      <c r="H64" s="157">
        <v>3</v>
      </c>
      <c r="I64" s="177">
        <v>0</v>
      </c>
      <c r="J64" s="157">
        <v>0</v>
      </c>
      <c r="K64" s="157">
        <v>0</v>
      </c>
      <c r="L64" s="177">
        <v>0</v>
      </c>
      <c r="M64" s="177">
        <v>0</v>
      </c>
      <c r="N64" s="157"/>
      <c r="O64" s="177">
        <v>1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59"/>
    </row>
    <row r="65" spans="1:23" x14ac:dyDescent="0.45">
      <c r="A65" s="157" t="s">
        <v>146</v>
      </c>
      <c r="B65" s="157" t="s">
        <v>227</v>
      </c>
      <c r="C65" s="175">
        <v>63</v>
      </c>
      <c r="D65" s="176"/>
      <c r="E65" s="157">
        <v>0</v>
      </c>
      <c r="F65" s="157">
        <v>0</v>
      </c>
      <c r="G65" s="157">
        <v>3</v>
      </c>
      <c r="H65" s="157">
        <v>2</v>
      </c>
      <c r="I65" s="177">
        <v>1</v>
      </c>
      <c r="J65" s="157">
        <v>1</v>
      </c>
      <c r="K65" s="157">
        <v>0</v>
      </c>
      <c r="L65" s="177">
        <v>0</v>
      </c>
      <c r="M65" s="177">
        <v>0</v>
      </c>
      <c r="N65" s="157"/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1</v>
      </c>
      <c r="U65" s="177">
        <v>0</v>
      </c>
      <c r="V65" s="177">
        <v>0</v>
      </c>
      <c r="W65" s="159"/>
    </row>
    <row r="66" spans="1:23" x14ac:dyDescent="0.45">
      <c r="A66" s="157" t="s">
        <v>215</v>
      </c>
      <c r="B66" s="157" t="s">
        <v>228</v>
      </c>
      <c r="C66" s="175">
        <v>64</v>
      </c>
      <c r="D66" s="176"/>
      <c r="E66" s="157">
        <v>0</v>
      </c>
      <c r="F66" s="157">
        <v>0</v>
      </c>
      <c r="G66" s="157">
        <v>3</v>
      </c>
      <c r="H66" s="157">
        <v>4</v>
      </c>
      <c r="I66" s="177">
        <v>0</v>
      </c>
      <c r="J66" s="157">
        <v>0</v>
      </c>
      <c r="K66" s="157">
        <v>0</v>
      </c>
      <c r="L66" s="177">
        <v>0</v>
      </c>
      <c r="M66" s="177">
        <v>0</v>
      </c>
      <c r="N66" s="157"/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59"/>
    </row>
    <row r="67" spans="1:23" x14ac:dyDescent="0.45">
      <c r="A67" s="157" t="s">
        <v>229</v>
      </c>
      <c r="B67" s="157" t="s">
        <v>230</v>
      </c>
      <c r="C67" s="175">
        <v>65</v>
      </c>
      <c r="D67" s="176"/>
      <c r="E67" s="157">
        <v>0</v>
      </c>
      <c r="F67" s="157">
        <v>1</v>
      </c>
      <c r="G67" s="157">
        <v>3</v>
      </c>
      <c r="H67" s="157">
        <v>3</v>
      </c>
      <c r="I67" s="177">
        <v>1</v>
      </c>
      <c r="J67" s="157">
        <v>0</v>
      </c>
      <c r="K67" s="157">
        <v>0</v>
      </c>
      <c r="L67" s="177">
        <v>0</v>
      </c>
      <c r="M67" s="177">
        <v>0</v>
      </c>
      <c r="N67" s="157"/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59"/>
    </row>
    <row r="68" spans="1:23" x14ac:dyDescent="0.45">
      <c r="A68" s="157" t="s">
        <v>231</v>
      </c>
      <c r="B68" s="157" t="s">
        <v>232</v>
      </c>
      <c r="C68" s="175">
        <v>66</v>
      </c>
      <c r="D68" s="176"/>
      <c r="E68" s="157">
        <v>0</v>
      </c>
      <c r="F68" s="157">
        <v>1</v>
      </c>
      <c r="G68" s="157">
        <v>2</v>
      </c>
      <c r="H68" s="157">
        <v>4</v>
      </c>
      <c r="I68" s="177">
        <v>0</v>
      </c>
      <c r="J68" s="157">
        <v>0</v>
      </c>
      <c r="K68" s="157">
        <v>0</v>
      </c>
      <c r="L68" s="177">
        <v>0</v>
      </c>
      <c r="M68" s="177">
        <v>0</v>
      </c>
      <c r="N68" s="157"/>
      <c r="O68" s="177">
        <v>0</v>
      </c>
      <c r="P68" s="177">
        <v>0</v>
      </c>
      <c r="Q68" s="177">
        <v>1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59"/>
    </row>
    <row r="69" spans="1:23" x14ac:dyDescent="0.45">
      <c r="A69" s="157" t="s">
        <v>233</v>
      </c>
      <c r="B69" s="157" t="s">
        <v>234</v>
      </c>
      <c r="C69" s="175">
        <v>67</v>
      </c>
      <c r="D69" s="176"/>
      <c r="E69" s="157">
        <v>0</v>
      </c>
      <c r="F69" s="157">
        <v>0</v>
      </c>
      <c r="G69" s="157">
        <v>3</v>
      </c>
      <c r="H69" s="157">
        <v>4</v>
      </c>
      <c r="I69" s="177">
        <v>0</v>
      </c>
      <c r="J69" s="157">
        <v>0</v>
      </c>
      <c r="K69" s="157">
        <v>0</v>
      </c>
      <c r="L69" s="177">
        <v>0</v>
      </c>
      <c r="M69" s="177">
        <v>0</v>
      </c>
      <c r="N69" s="157"/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1</v>
      </c>
      <c r="W69" s="159"/>
    </row>
    <row r="70" spans="1:23" x14ac:dyDescent="0.45">
      <c r="A70" s="157" t="s">
        <v>235</v>
      </c>
      <c r="B70" s="157" t="s">
        <v>236</v>
      </c>
      <c r="C70" s="175">
        <v>68</v>
      </c>
      <c r="D70" s="176"/>
      <c r="E70" s="157">
        <v>0</v>
      </c>
      <c r="F70" s="157">
        <v>1</v>
      </c>
      <c r="G70" s="157">
        <v>2</v>
      </c>
      <c r="H70" s="157">
        <v>4</v>
      </c>
      <c r="I70" s="177">
        <v>0</v>
      </c>
      <c r="J70" s="157">
        <v>0</v>
      </c>
      <c r="K70" s="157">
        <v>0</v>
      </c>
      <c r="L70" s="177">
        <v>0</v>
      </c>
      <c r="M70" s="177">
        <v>0</v>
      </c>
      <c r="N70" s="157"/>
      <c r="O70" s="177">
        <v>0</v>
      </c>
      <c r="P70" s="177">
        <v>0</v>
      </c>
      <c r="Q70" s="177">
        <v>1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59"/>
    </row>
    <row r="71" spans="1:23" x14ac:dyDescent="0.45">
      <c r="A71" s="157" t="s">
        <v>237</v>
      </c>
      <c r="B71" s="157" t="s">
        <v>238</v>
      </c>
      <c r="C71" s="175">
        <v>69</v>
      </c>
      <c r="D71" s="176"/>
      <c r="E71" s="157">
        <v>0</v>
      </c>
      <c r="F71" s="157">
        <v>0</v>
      </c>
      <c r="G71" s="157">
        <v>3</v>
      </c>
      <c r="H71" s="157">
        <v>4</v>
      </c>
      <c r="I71" s="177">
        <v>0</v>
      </c>
      <c r="J71" s="157">
        <v>0</v>
      </c>
      <c r="K71" s="157">
        <v>0</v>
      </c>
      <c r="L71" s="177">
        <v>0</v>
      </c>
      <c r="M71" s="177">
        <v>0</v>
      </c>
      <c r="N71" s="157"/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59"/>
    </row>
    <row r="72" spans="1:23" x14ac:dyDescent="0.45">
      <c r="A72" s="157" t="s">
        <v>239</v>
      </c>
      <c r="B72" s="157" t="s">
        <v>240</v>
      </c>
      <c r="C72" s="175">
        <v>70</v>
      </c>
      <c r="D72" s="176"/>
      <c r="E72" s="157">
        <v>1</v>
      </c>
      <c r="F72" s="157">
        <v>1</v>
      </c>
      <c r="G72" s="157">
        <v>3</v>
      </c>
      <c r="H72" s="157">
        <v>4</v>
      </c>
      <c r="I72" s="177">
        <v>0</v>
      </c>
      <c r="J72" s="157">
        <v>0</v>
      </c>
      <c r="K72" s="157">
        <v>0</v>
      </c>
      <c r="L72" s="177">
        <v>0</v>
      </c>
      <c r="M72" s="177">
        <v>0</v>
      </c>
      <c r="N72" s="157"/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59"/>
    </row>
    <row r="73" spans="1:23" x14ac:dyDescent="0.45">
      <c r="A73" s="157" t="s">
        <v>241</v>
      </c>
      <c r="B73" s="157" t="s">
        <v>242</v>
      </c>
      <c r="C73" s="175">
        <v>71</v>
      </c>
      <c r="D73" s="176"/>
      <c r="E73" s="157">
        <v>0</v>
      </c>
      <c r="F73" s="157">
        <v>1</v>
      </c>
      <c r="G73" s="157">
        <v>3</v>
      </c>
      <c r="H73" s="157">
        <v>4</v>
      </c>
      <c r="I73" s="177">
        <v>0</v>
      </c>
      <c r="J73" s="157">
        <v>0</v>
      </c>
      <c r="K73" s="157">
        <v>0</v>
      </c>
      <c r="L73" s="177">
        <v>0</v>
      </c>
      <c r="M73" s="177">
        <v>0</v>
      </c>
      <c r="N73" s="157"/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59"/>
    </row>
    <row r="74" spans="1:23" x14ac:dyDescent="0.45">
      <c r="A74" s="157" t="s">
        <v>243</v>
      </c>
      <c r="B74" s="157" t="s">
        <v>244</v>
      </c>
      <c r="C74" s="175">
        <v>72</v>
      </c>
      <c r="D74" s="176"/>
      <c r="E74" s="157">
        <v>0</v>
      </c>
      <c r="F74" s="157">
        <v>0</v>
      </c>
      <c r="G74" s="157">
        <v>2</v>
      </c>
      <c r="H74" s="157">
        <v>4</v>
      </c>
      <c r="I74" s="177">
        <v>0</v>
      </c>
      <c r="J74" s="157">
        <v>0</v>
      </c>
      <c r="K74" s="157">
        <v>0</v>
      </c>
      <c r="L74" s="177">
        <v>0</v>
      </c>
      <c r="M74" s="177">
        <v>0</v>
      </c>
      <c r="N74" s="157"/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59"/>
    </row>
    <row r="75" spans="1:23" x14ac:dyDescent="0.45">
      <c r="A75" s="157" t="s">
        <v>245</v>
      </c>
      <c r="B75" s="157" t="s">
        <v>246</v>
      </c>
      <c r="C75" s="175">
        <v>73</v>
      </c>
      <c r="D75" s="176"/>
      <c r="E75" s="157">
        <v>1</v>
      </c>
      <c r="F75" s="157">
        <v>0</v>
      </c>
      <c r="G75" s="157">
        <v>2</v>
      </c>
      <c r="H75" s="157">
        <v>3</v>
      </c>
      <c r="I75" s="177">
        <v>0</v>
      </c>
      <c r="J75" s="157">
        <v>0</v>
      </c>
      <c r="K75" s="157">
        <v>0</v>
      </c>
      <c r="L75" s="177">
        <v>0</v>
      </c>
      <c r="M75" s="177">
        <v>0</v>
      </c>
      <c r="N75" s="157"/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59"/>
    </row>
    <row r="76" spans="1:23" x14ac:dyDescent="0.45">
      <c r="A76" s="157" t="s">
        <v>247</v>
      </c>
      <c r="B76" s="157" t="s">
        <v>248</v>
      </c>
      <c r="C76" s="175">
        <v>74</v>
      </c>
      <c r="D76" s="176"/>
      <c r="E76" s="157">
        <v>1</v>
      </c>
      <c r="F76" s="157">
        <v>1</v>
      </c>
      <c r="G76" s="157">
        <v>2</v>
      </c>
      <c r="H76" s="157">
        <v>4</v>
      </c>
      <c r="I76" s="177">
        <v>0</v>
      </c>
      <c r="J76" s="157">
        <v>0</v>
      </c>
      <c r="K76" s="157">
        <v>0</v>
      </c>
      <c r="L76" s="177">
        <v>0</v>
      </c>
      <c r="M76" s="177">
        <v>0</v>
      </c>
      <c r="N76" s="157"/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59"/>
    </row>
    <row r="77" spans="1:23" x14ac:dyDescent="0.45">
      <c r="A77" s="157" t="s">
        <v>249</v>
      </c>
      <c r="B77" s="157" t="s">
        <v>250</v>
      </c>
      <c r="C77" s="175">
        <v>75</v>
      </c>
      <c r="D77" s="176"/>
      <c r="E77" s="157">
        <v>0</v>
      </c>
      <c r="F77" s="157">
        <v>0</v>
      </c>
      <c r="G77" s="157">
        <v>2</v>
      </c>
      <c r="H77" s="157">
        <v>4</v>
      </c>
      <c r="I77" s="177">
        <v>0</v>
      </c>
      <c r="J77" s="157">
        <v>0</v>
      </c>
      <c r="K77" s="157">
        <v>0</v>
      </c>
      <c r="L77" s="177">
        <v>0</v>
      </c>
      <c r="M77" s="177">
        <v>0</v>
      </c>
      <c r="N77" s="157"/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59"/>
    </row>
    <row r="78" spans="1:23" x14ac:dyDescent="0.45">
      <c r="A78" s="157" t="s">
        <v>251</v>
      </c>
      <c r="B78" s="157" t="s">
        <v>252</v>
      </c>
      <c r="C78" s="175">
        <v>76</v>
      </c>
      <c r="D78" s="176"/>
      <c r="E78" s="157">
        <v>0</v>
      </c>
      <c r="F78" s="157">
        <v>1</v>
      </c>
      <c r="G78" s="157">
        <v>2</v>
      </c>
      <c r="H78" s="157">
        <v>4</v>
      </c>
      <c r="I78" s="177">
        <v>0</v>
      </c>
      <c r="J78" s="157">
        <v>0</v>
      </c>
      <c r="K78" s="157">
        <v>0</v>
      </c>
      <c r="L78" s="177">
        <v>0</v>
      </c>
      <c r="M78" s="177">
        <v>0</v>
      </c>
      <c r="N78" s="157"/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59"/>
    </row>
    <row r="79" spans="1:23" x14ac:dyDescent="0.45">
      <c r="A79" s="157" t="s">
        <v>219</v>
      </c>
      <c r="B79" s="157" t="s">
        <v>253</v>
      </c>
      <c r="C79" s="175">
        <v>77</v>
      </c>
      <c r="D79" s="176"/>
      <c r="E79" s="157">
        <v>0</v>
      </c>
      <c r="F79" s="157">
        <v>0</v>
      </c>
      <c r="G79" s="157">
        <v>2</v>
      </c>
      <c r="H79" s="157">
        <v>4</v>
      </c>
      <c r="I79" s="177">
        <v>0</v>
      </c>
      <c r="J79" s="157">
        <v>0</v>
      </c>
      <c r="K79" s="157">
        <v>0</v>
      </c>
      <c r="L79" s="177">
        <v>0</v>
      </c>
      <c r="M79" s="177">
        <v>0</v>
      </c>
      <c r="N79" s="157"/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59"/>
    </row>
    <row r="80" spans="1:23" x14ac:dyDescent="0.45">
      <c r="A80" s="157" t="s">
        <v>254</v>
      </c>
      <c r="B80" s="157" t="s">
        <v>255</v>
      </c>
      <c r="C80" s="175">
        <v>78</v>
      </c>
      <c r="D80" s="176"/>
      <c r="E80" s="157">
        <v>0</v>
      </c>
      <c r="F80" s="157">
        <v>1</v>
      </c>
      <c r="G80" s="157">
        <v>2</v>
      </c>
      <c r="H80" s="157">
        <v>4</v>
      </c>
      <c r="I80" s="177">
        <v>0</v>
      </c>
      <c r="J80" s="157">
        <v>0</v>
      </c>
      <c r="K80" s="157">
        <v>0</v>
      </c>
      <c r="L80" s="177">
        <v>0</v>
      </c>
      <c r="M80" s="177">
        <v>0</v>
      </c>
      <c r="N80" s="157"/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59"/>
    </row>
    <row r="81" spans="1:23" x14ac:dyDescent="0.45">
      <c r="A81" s="157" t="s">
        <v>256</v>
      </c>
      <c r="B81" s="157" t="s">
        <v>257</v>
      </c>
      <c r="C81" s="175">
        <v>79</v>
      </c>
      <c r="D81" s="176"/>
      <c r="E81" s="157">
        <v>0</v>
      </c>
      <c r="F81" s="157">
        <v>0</v>
      </c>
      <c r="G81" s="157">
        <v>2</v>
      </c>
      <c r="H81" s="157">
        <v>4</v>
      </c>
      <c r="I81" s="177">
        <v>0</v>
      </c>
      <c r="J81" s="157">
        <v>1</v>
      </c>
      <c r="K81" s="157">
        <v>0</v>
      </c>
      <c r="L81" s="177">
        <v>0</v>
      </c>
      <c r="M81" s="177">
        <v>0</v>
      </c>
      <c r="N81" s="157"/>
      <c r="O81" s="177">
        <v>0</v>
      </c>
      <c r="P81" s="177">
        <v>0</v>
      </c>
      <c r="Q81" s="177">
        <v>0</v>
      </c>
      <c r="R81" s="177">
        <v>1</v>
      </c>
      <c r="S81" s="177">
        <v>0</v>
      </c>
      <c r="T81" s="177">
        <v>0</v>
      </c>
      <c r="U81" s="177">
        <v>0</v>
      </c>
      <c r="V81" s="177">
        <v>0</v>
      </c>
      <c r="W81" s="159"/>
    </row>
    <row r="82" spans="1:23" x14ac:dyDescent="0.45">
      <c r="A82" s="157" t="s">
        <v>258</v>
      </c>
      <c r="B82" s="157" t="s">
        <v>259</v>
      </c>
      <c r="C82" s="175">
        <v>80</v>
      </c>
      <c r="D82" s="176"/>
      <c r="E82" s="157">
        <v>0</v>
      </c>
      <c r="F82" s="157">
        <v>1</v>
      </c>
      <c r="G82" s="157">
        <v>2</v>
      </c>
      <c r="H82" s="157">
        <v>4</v>
      </c>
      <c r="I82" s="177">
        <v>0</v>
      </c>
      <c r="J82" s="157">
        <v>1</v>
      </c>
      <c r="K82" s="157">
        <v>0</v>
      </c>
      <c r="L82" s="177">
        <v>0</v>
      </c>
      <c r="M82" s="177">
        <v>0</v>
      </c>
      <c r="N82" s="157"/>
      <c r="O82" s="177">
        <v>0</v>
      </c>
      <c r="P82" s="177">
        <v>0</v>
      </c>
      <c r="Q82" s="177">
        <v>0</v>
      </c>
      <c r="R82" s="177">
        <v>1</v>
      </c>
      <c r="S82" s="177">
        <v>0</v>
      </c>
      <c r="T82" s="177">
        <v>0</v>
      </c>
      <c r="U82" s="177">
        <v>0</v>
      </c>
      <c r="V82" s="177">
        <v>0</v>
      </c>
      <c r="W82" s="159"/>
    </row>
    <row r="83" spans="1:23" x14ac:dyDescent="0.45">
      <c r="A83" s="157" t="s">
        <v>260</v>
      </c>
      <c r="B83" s="157" t="s">
        <v>261</v>
      </c>
      <c r="C83" s="175">
        <v>81</v>
      </c>
      <c r="D83" s="176"/>
      <c r="E83" s="157">
        <v>0</v>
      </c>
      <c r="F83" s="157">
        <v>0</v>
      </c>
      <c r="G83" s="157">
        <v>2</v>
      </c>
      <c r="H83" s="157">
        <v>4</v>
      </c>
      <c r="I83" s="177">
        <v>0</v>
      </c>
      <c r="J83" s="157">
        <v>0</v>
      </c>
      <c r="K83" s="157">
        <v>0</v>
      </c>
      <c r="L83" s="177">
        <v>0</v>
      </c>
      <c r="M83" s="177">
        <v>0</v>
      </c>
      <c r="N83" s="157"/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59"/>
    </row>
    <row r="84" spans="1:23" x14ac:dyDescent="0.45">
      <c r="A84" s="157" t="s">
        <v>262</v>
      </c>
      <c r="B84" s="157" t="s">
        <v>263</v>
      </c>
      <c r="C84" s="175">
        <v>82</v>
      </c>
      <c r="D84" s="176"/>
      <c r="E84" s="157">
        <v>0</v>
      </c>
      <c r="F84" s="157">
        <v>1</v>
      </c>
      <c r="G84" s="157">
        <v>2</v>
      </c>
      <c r="H84" s="157">
        <v>4</v>
      </c>
      <c r="I84" s="177">
        <v>0</v>
      </c>
      <c r="J84" s="157">
        <v>0</v>
      </c>
      <c r="K84" s="157">
        <v>0</v>
      </c>
      <c r="L84" s="177">
        <v>0</v>
      </c>
      <c r="M84" s="177">
        <v>0</v>
      </c>
      <c r="N84" s="157"/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59"/>
    </row>
    <row r="85" spans="1:23" x14ac:dyDescent="0.45">
      <c r="A85" s="157" t="s">
        <v>264</v>
      </c>
      <c r="B85" s="157" t="s">
        <v>265</v>
      </c>
      <c r="C85" s="175">
        <v>83</v>
      </c>
      <c r="D85" s="176"/>
      <c r="E85" s="157">
        <v>0</v>
      </c>
      <c r="F85" s="157">
        <v>1</v>
      </c>
      <c r="G85" s="157">
        <v>2</v>
      </c>
      <c r="H85" s="157">
        <v>4</v>
      </c>
      <c r="I85" s="177">
        <v>0</v>
      </c>
      <c r="J85" s="157">
        <v>0</v>
      </c>
      <c r="K85" s="157">
        <v>0</v>
      </c>
      <c r="L85" s="177">
        <v>0</v>
      </c>
      <c r="M85" s="177">
        <v>0</v>
      </c>
      <c r="N85" s="157"/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59"/>
    </row>
    <row r="86" spans="1:23" x14ac:dyDescent="0.45">
      <c r="A86" s="157" t="s">
        <v>266</v>
      </c>
      <c r="B86" s="157" t="s">
        <v>267</v>
      </c>
      <c r="C86" s="175">
        <v>84</v>
      </c>
      <c r="D86" s="176"/>
      <c r="E86" s="157">
        <v>0</v>
      </c>
      <c r="F86" s="157">
        <v>0</v>
      </c>
      <c r="G86" s="157">
        <v>2</v>
      </c>
      <c r="H86" s="157">
        <v>4</v>
      </c>
      <c r="I86" s="177">
        <v>0</v>
      </c>
      <c r="J86" s="157">
        <v>0</v>
      </c>
      <c r="K86" s="157">
        <v>0</v>
      </c>
      <c r="L86" s="177">
        <v>0</v>
      </c>
      <c r="M86" s="177">
        <v>0</v>
      </c>
      <c r="N86" s="157"/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59"/>
    </row>
    <row r="87" spans="1:23" x14ac:dyDescent="0.45">
      <c r="A87" s="157" t="s">
        <v>268</v>
      </c>
      <c r="B87" s="157" t="s">
        <v>269</v>
      </c>
      <c r="C87" s="175">
        <v>85</v>
      </c>
      <c r="D87" s="176"/>
      <c r="E87" s="157">
        <v>0</v>
      </c>
      <c r="F87" s="157">
        <v>1</v>
      </c>
      <c r="G87" s="157">
        <v>2</v>
      </c>
      <c r="H87" s="157">
        <v>4</v>
      </c>
      <c r="I87" s="177">
        <v>0</v>
      </c>
      <c r="J87" s="157">
        <v>0</v>
      </c>
      <c r="K87" s="157">
        <v>0</v>
      </c>
      <c r="L87" s="177">
        <v>0</v>
      </c>
      <c r="M87" s="177">
        <v>0</v>
      </c>
      <c r="N87" s="157"/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59"/>
    </row>
    <row r="88" spans="1:23" x14ac:dyDescent="0.45">
      <c r="A88" s="157" t="s">
        <v>142</v>
      </c>
      <c r="B88" s="157" t="s">
        <v>270</v>
      </c>
      <c r="C88" s="175">
        <v>86</v>
      </c>
      <c r="D88" s="176"/>
      <c r="E88" s="157">
        <v>0</v>
      </c>
      <c r="F88" s="157">
        <v>1</v>
      </c>
      <c r="G88" s="157">
        <v>2</v>
      </c>
      <c r="H88" s="157">
        <v>4</v>
      </c>
      <c r="I88" s="177">
        <v>0</v>
      </c>
      <c r="J88" s="157">
        <v>0</v>
      </c>
      <c r="K88" s="157">
        <v>0</v>
      </c>
      <c r="L88" s="177">
        <v>0</v>
      </c>
      <c r="M88" s="177">
        <v>0</v>
      </c>
      <c r="N88" s="157"/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59"/>
    </row>
    <row r="89" spans="1:23" x14ac:dyDescent="0.45">
      <c r="A89" s="157" t="s">
        <v>271</v>
      </c>
      <c r="B89" s="157" t="s">
        <v>272</v>
      </c>
      <c r="C89" s="175">
        <v>87</v>
      </c>
      <c r="D89" s="176"/>
      <c r="E89" s="157">
        <v>0</v>
      </c>
      <c r="F89" s="157">
        <v>1</v>
      </c>
      <c r="G89" s="157">
        <v>2</v>
      </c>
      <c r="H89" s="157">
        <v>4</v>
      </c>
      <c r="I89" s="177">
        <v>0</v>
      </c>
      <c r="J89" s="157">
        <v>1</v>
      </c>
      <c r="K89" s="157">
        <v>0</v>
      </c>
      <c r="L89" s="177">
        <v>0</v>
      </c>
      <c r="M89" s="177">
        <v>0</v>
      </c>
      <c r="N89" s="157"/>
      <c r="O89" s="177">
        <v>0</v>
      </c>
      <c r="P89" s="177">
        <v>0</v>
      </c>
      <c r="Q89" s="177">
        <v>1</v>
      </c>
      <c r="R89" s="177">
        <v>1</v>
      </c>
      <c r="S89" s="177">
        <v>0</v>
      </c>
      <c r="T89" s="177">
        <v>0</v>
      </c>
      <c r="U89" s="177">
        <v>0</v>
      </c>
      <c r="V89" s="177">
        <v>0</v>
      </c>
      <c r="W89" s="159"/>
    </row>
    <row r="90" spans="1:23" x14ac:dyDescent="0.45">
      <c r="A90" s="157" t="s">
        <v>273</v>
      </c>
      <c r="B90" s="157" t="s">
        <v>274</v>
      </c>
      <c r="C90" s="175">
        <v>88</v>
      </c>
      <c r="D90" s="176"/>
      <c r="E90" s="157">
        <v>1</v>
      </c>
      <c r="F90" s="157">
        <v>1</v>
      </c>
      <c r="G90" s="157">
        <v>2</v>
      </c>
      <c r="H90" s="157">
        <v>2</v>
      </c>
      <c r="I90" s="177">
        <v>1</v>
      </c>
      <c r="J90" s="157">
        <v>0</v>
      </c>
      <c r="K90" s="157">
        <v>0</v>
      </c>
      <c r="L90" s="177">
        <v>0</v>
      </c>
      <c r="M90" s="177">
        <v>0</v>
      </c>
      <c r="N90" s="157"/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59"/>
    </row>
    <row r="91" spans="1:23" x14ac:dyDescent="0.45">
      <c r="A91" s="157" t="s">
        <v>275</v>
      </c>
      <c r="B91" s="157" t="s">
        <v>276</v>
      </c>
      <c r="C91" s="175">
        <v>89</v>
      </c>
      <c r="D91" s="176"/>
      <c r="E91" s="157">
        <v>0</v>
      </c>
      <c r="F91" s="157">
        <v>1</v>
      </c>
      <c r="G91" s="157">
        <v>2</v>
      </c>
      <c r="H91" s="157">
        <v>4</v>
      </c>
      <c r="I91" s="177">
        <v>0</v>
      </c>
      <c r="J91" s="157">
        <v>0</v>
      </c>
      <c r="K91" s="157">
        <v>0</v>
      </c>
      <c r="L91" s="177">
        <v>0</v>
      </c>
      <c r="M91" s="177">
        <v>0</v>
      </c>
      <c r="N91" s="157"/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59"/>
    </row>
    <row r="92" spans="1:23" x14ac:dyDescent="0.45">
      <c r="A92" s="157" t="s">
        <v>277</v>
      </c>
      <c r="B92" s="157" t="s">
        <v>278</v>
      </c>
      <c r="C92" s="175">
        <v>90</v>
      </c>
      <c r="D92" s="176"/>
      <c r="E92" s="157">
        <v>0</v>
      </c>
      <c r="F92" s="157">
        <v>1</v>
      </c>
      <c r="G92" s="157">
        <v>2</v>
      </c>
      <c r="H92" s="157">
        <v>4</v>
      </c>
      <c r="I92" s="177">
        <v>0</v>
      </c>
      <c r="J92" s="157">
        <v>0</v>
      </c>
      <c r="K92" s="157">
        <v>0</v>
      </c>
      <c r="L92" s="177">
        <v>0</v>
      </c>
      <c r="M92" s="177">
        <v>0</v>
      </c>
      <c r="N92" s="157"/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59"/>
    </row>
    <row r="93" spans="1:23" x14ac:dyDescent="0.45">
      <c r="A93" s="157" t="s">
        <v>279</v>
      </c>
      <c r="B93" s="157" t="s">
        <v>280</v>
      </c>
      <c r="C93" s="175">
        <v>91</v>
      </c>
      <c r="D93" s="176"/>
      <c r="E93" s="157">
        <v>0</v>
      </c>
      <c r="F93" s="157">
        <v>1</v>
      </c>
      <c r="G93" s="157">
        <v>2</v>
      </c>
      <c r="H93" s="157">
        <v>4</v>
      </c>
      <c r="I93" s="177">
        <v>0</v>
      </c>
      <c r="J93" s="157">
        <v>0</v>
      </c>
      <c r="K93" s="157">
        <v>0</v>
      </c>
      <c r="L93" s="177">
        <v>0</v>
      </c>
      <c r="M93" s="177">
        <v>0</v>
      </c>
      <c r="N93" s="157"/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59"/>
    </row>
    <row r="94" spans="1:23" x14ac:dyDescent="0.45">
      <c r="A94" s="157" t="s">
        <v>281</v>
      </c>
      <c r="B94" s="157" t="s">
        <v>282</v>
      </c>
      <c r="C94" s="175">
        <v>92</v>
      </c>
      <c r="D94" s="176"/>
      <c r="E94" s="157">
        <v>0</v>
      </c>
      <c r="F94" s="157">
        <v>1</v>
      </c>
      <c r="G94" s="157">
        <v>2</v>
      </c>
      <c r="H94" s="157">
        <v>4</v>
      </c>
      <c r="I94" s="177">
        <v>0</v>
      </c>
      <c r="J94" s="157">
        <v>0</v>
      </c>
      <c r="K94" s="157">
        <v>0</v>
      </c>
      <c r="L94" s="177">
        <v>0</v>
      </c>
      <c r="M94" s="177">
        <v>0</v>
      </c>
      <c r="N94" s="157"/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59"/>
    </row>
    <row r="95" spans="1:23" x14ac:dyDescent="0.45">
      <c r="A95" s="157" t="s">
        <v>283</v>
      </c>
      <c r="B95" s="157" t="s">
        <v>284</v>
      </c>
      <c r="C95" s="175">
        <v>93</v>
      </c>
      <c r="D95" s="176"/>
      <c r="E95" s="157">
        <v>0</v>
      </c>
      <c r="F95" s="157">
        <v>1</v>
      </c>
      <c r="G95" s="157">
        <v>2</v>
      </c>
      <c r="H95" s="157">
        <v>4</v>
      </c>
      <c r="I95" s="177">
        <v>0</v>
      </c>
      <c r="J95" s="157">
        <v>0</v>
      </c>
      <c r="K95" s="157">
        <v>0</v>
      </c>
      <c r="L95" s="177">
        <v>0</v>
      </c>
      <c r="M95" s="177">
        <v>0</v>
      </c>
      <c r="N95" s="157"/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59"/>
    </row>
    <row r="96" spans="1:23" x14ac:dyDescent="0.45">
      <c r="A96" s="157" t="s">
        <v>285</v>
      </c>
      <c r="B96" s="157" t="s">
        <v>286</v>
      </c>
      <c r="C96" s="175">
        <v>94</v>
      </c>
      <c r="D96" s="176"/>
      <c r="E96" s="157">
        <v>1</v>
      </c>
      <c r="F96" s="157">
        <v>1</v>
      </c>
      <c r="G96" s="157">
        <v>2</v>
      </c>
      <c r="H96" s="157">
        <v>3</v>
      </c>
      <c r="I96" s="177">
        <v>0</v>
      </c>
      <c r="J96" s="157">
        <v>0</v>
      </c>
      <c r="K96" s="157">
        <v>0</v>
      </c>
      <c r="L96" s="177">
        <v>0</v>
      </c>
      <c r="M96" s="177">
        <v>0</v>
      </c>
      <c r="N96" s="157"/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59"/>
    </row>
    <row r="97" spans="1:23" x14ac:dyDescent="0.45">
      <c r="A97" s="157" t="s">
        <v>245</v>
      </c>
      <c r="B97" s="157" t="s">
        <v>287</v>
      </c>
      <c r="C97" s="175">
        <v>95</v>
      </c>
      <c r="D97" s="176"/>
      <c r="E97" s="157">
        <v>0</v>
      </c>
      <c r="F97" s="157">
        <v>1</v>
      </c>
      <c r="G97" s="157">
        <v>2</v>
      </c>
      <c r="H97" s="157">
        <v>2</v>
      </c>
      <c r="I97" s="177">
        <v>0</v>
      </c>
      <c r="J97" s="157">
        <v>0</v>
      </c>
      <c r="K97" s="157">
        <v>0</v>
      </c>
      <c r="L97" s="177">
        <v>0</v>
      </c>
      <c r="M97" s="177">
        <v>0</v>
      </c>
      <c r="N97" s="157"/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59"/>
    </row>
    <row r="98" spans="1:23" x14ac:dyDescent="0.45">
      <c r="A98" s="157" t="s">
        <v>288</v>
      </c>
      <c r="B98" s="157" t="s">
        <v>156</v>
      </c>
      <c r="C98" s="175">
        <v>96</v>
      </c>
      <c r="D98" s="176"/>
      <c r="E98" s="157">
        <v>1</v>
      </c>
      <c r="F98" s="157">
        <v>0</v>
      </c>
      <c r="G98" s="157">
        <v>2</v>
      </c>
      <c r="H98" s="157">
        <v>4</v>
      </c>
      <c r="I98" s="177">
        <v>0</v>
      </c>
      <c r="J98" s="157">
        <v>0</v>
      </c>
      <c r="K98" s="157">
        <v>0</v>
      </c>
      <c r="L98" s="177">
        <v>0</v>
      </c>
      <c r="M98" s="177">
        <v>0</v>
      </c>
      <c r="N98" s="157"/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59"/>
    </row>
    <row r="99" spans="1:23" x14ac:dyDescent="0.45">
      <c r="A99" s="157" t="s">
        <v>289</v>
      </c>
      <c r="B99" s="157" t="s">
        <v>290</v>
      </c>
      <c r="C99" s="175">
        <v>97</v>
      </c>
      <c r="D99" s="176"/>
      <c r="E99" s="157">
        <v>0</v>
      </c>
      <c r="F99" s="157">
        <v>1</v>
      </c>
      <c r="G99" s="157">
        <v>2</v>
      </c>
      <c r="H99" s="157">
        <v>2</v>
      </c>
      <c r="I99" s="177">
        <v>1</v>
      </c>
      <c r="J99" s="157">
        <v>0</v>
      </c>
      <c r="K99" s="157">
        <v>0</v>
      </c>
      <c r="L99" s="177">
        <v>0</v>
      </c>
      <c r="M99" s="177">
        <v>0</v>
      </c>
      <c r="N99" s="157"/>
      <c r="O99" s="177">
        <v>0</v>
      </c>
      <c r="P99" s="177">
        <v>1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59"/>
    </row>
    <row r="100" spans="1:23" x14ac:dyDescent="0.45">
      <c r="A100" s="157" t="s">
        <v>291</v>
      </c>
      <c r="B100" s="157" t="s">
        <v>292</v>
      </c>
      <c r="C100" s="175">
        <v>98</v>
      </c>
      <c r="D100" s="176"/>
      <c r="E100" s="157">
        <v>0</v>
      </c>
      <c r="F100" s="157">
        <v>1</v>
      </c>
      <c r="G100" s="157">
        <v>2</v>
      </c>
      <c r="H100" s="157">
        <v>3</v>
      </c>
      <c r="I100" s="177">
        <v>0</v>
      </c>
      <c r="J100" s="157">
        <v>0</v>
      </c>
      <c r="K100" s="157">
        <v>0</v>
      </c>
      <c r="L100" s="177">
        <v>0</v>
      </c>
      <c r="M100" s="177">
        <v>0</v>
      </c>
      <c r="N100" s="157"/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59"/>
    </row>
    <row r="101" spans="1:23" x14ac:dyDescent="0.45">
      <c r="A101" s="157" t="s">
        <v>293</v>
      </c>
      <c r="B101" s="157" t="s">
        <v>294</v>
      </c>
      <c r="C101" s="175">
        <v>99</v>
      </c>
      <c r="D101" s="176"/>
      <c r="E101" s="157">
        <v>0</v>
      </c>
      <c r="F101" s="157">
        <v>1</v>
      </c>
      <c r="G101" s="157">
        <v>1</v>
      </c>
      <c r="H101" s="157">
        <v>4</v>
      </c>
      <c r="I101" s="177">
        <v>0</v>
      </c>
      <c r="J101" s="157">
        <v>0</v>
      </c>
      <c r="K101" s="157">
        <v>0</v>
      </c>
      <c r="L101" s="177">
        <v>0</v>
      </c>
      <c r="M101" s="177">
        <v>0</v>
      </c>
      <c r="N101" s="157"/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1</v>
      </c>
      <c r="U101" s="177">
        <v>0</v>
      </c>
      <c r="V101" s="177">
        <v>0</v>
      </c>
      <c r="W101" s="159"/>
    </row>
    <row r="102" spans="1:23" x14ac:dyDescent="0.45">
      <c r="A102" s="157" t="s">
        <v>295</v>
      </c>
      <c r="B102" s="157" t="s">
        <v>296</v>
      </c>
      <c r="C102" s="175">
        <v>100</v>
      </c>
      <c r="D102" s="176"/>
      <c r="E102" s="157">
        <v>0</v>
      </c>
      <c r="F102" s="157">
        <v>1</v>
      </c>
      <c r="G102" s="157">
        <v>1</v>
      </c>
      <c r="H102" s="157">
        <v>3</v>
      </c>
      <c r="I102" s="177">
        <v>1</v>
      </c>
      <c r="J102" s="157">
        <v>0</v>
      </c>
      <c r="K102" s="157">
        <v>0</v>
      </c>
      <c r="L102" s="177">
        <v>0</v>
      </c>
      <c r="M102" s="177">
        <v>0</v>
      </c>
      <c r="N102" s="157"/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59"/>
    </row>
    <row r="103" spans="1:23" x14ac:dyDescent="0.45">
      <c r="A103" s="157" t="s">
        <v>297</v>
      </c>
      <c r="B103" s="157" t="s">
        <v>298</v>
      </c>
      <c r="C103" s="175">
        <v>101</v>
      </c>
      <c r="D103" s="176"/>
      <c r="E103" s="157">
        <v>0</v>
      </c>
      <c r="F103" s="157">
        <v>1</v>
      </c>
      <c r="G103" s="157">
        <v>2</v>
      </c>
      <c r="H103" s="157">
        <v>4</v>
      </c>
      <c r="I103" s="177">
        <v>0</v>
      </c>
      <c r="J103" s="157">
        <v>0</v>
      </c>
      <c r="K103" s="157">
        <v>0</v>
      </c>
      <c r="L103" s="177">
        <v>0</v>
      </c>
      <c r="M103" s="177">
        <v>0</v>
      </c>
      <c r="N103" s="157"/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59"/>
    </row>
    <row r="104" spans="1:23" x14ac:dyDescent="0.45">
      <c r="A104" s="157" t="s">
        <v>299</v>
      </c>
      <c r="B104" s="157" t="s">
        <v>300</v>
      </c>
      <c r="C104" s="175">
        <v>102</v>
      </c>
      <c r="D104" s="176"/>
      <c r="E104" s="157">
        <v>1</v>
      </c>
      <c r="F104" s="157">
        <v>1</v>
      </c>
      <c r="G104" s="157">
        <v>2</v>
      </c>
      <c r="H104" s="157">
        <v>4</v>
      </c>
      <c r="I104" s="177">
        <v>0</v>
      </c>
      <c r="J104" s="157">
        <v>0</v>
      </c>
      <c r="K104" s="157">
        <v>0</v>
      </c>
      <c r="L104" s="177">
        <v>0</v>
      </c>
      <c r="M104" s="177">
        <v>0</v>
      </c>
      <c r="N104" s="157"/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59"/>
    </row>
    <row r="105" spans="1:23" x14ac:dyDescent="0.45">
      <c r="A105" s="157" t="s">
        <v>301</v>
      </c>
      <c r="B105" s="157" t="s">
        <v>302</v>
      </c>
      <c r="C105" s="175">
        <v>103</v>
      </c>
      <c r="D105" s="176"/>
      <c r="E105" s="157">
        <v>0</v>
      </c>
      <c r="F105" s="157">
        <v>1</v>
      </c>
      <c r="G105" s="157">
        <v>2</v>
      </c>
      <c r="H105" s="157">
        <v>4</v>
      </c>
      <c r="I105" s="177">
        <v>0</v>
      </c>
      <c r="J105" s="157">
        <v>0</v>
      </c>
      <c r="K105" s="157">
        <v>0</v>
      </c>
      <c r="L105" s="177">
        <v>0</v>
      </c>
      <c r="M105" s="177">
        <v>0</v>
      </c>
      <c r="N105" s="157"/>
      <c r="O105" s="177">
        <v>0</v>
      </c>
      <c r="P105" s="177">
        <v>0</v>
      </c>
      <c r="Q105" s="177">
        <v>0</v>
      </c>
      <c r="R105" s="177">
        <v>0</v>
      </c>
      <c r="S105" s="177">
        <v>0</v>
      </c>
      <c r="T105" s="177">
        <v>0</v>
      </c>
      <c r="U105" s="177">
        <v>0</v>
      </c>
      <c r="V105" s="177">
        <v>0</v>
      </c>
      <c r="W105" s="159"/>
    </row>
    <row r="106" spans="1:23" x14ac:dyDescent="0.45">
      <c r="A106" s="157" t="s">
        <v>303</v>
      </c>
      <c r="B106" s="157" t="s">
        <v>304</v>
      </c>
      <c r="C106" s="175">
        <v>104</v>
      </c>
      <c r="D106" s="176"/>
      <c r="E106" s="157">
        <v>0</v>
      </c>
      <c r="F106" s="157">
        <v>0</v>
      </c>
      <c r="G106" s="157">
        <v>2</v>
      </c>
      <c r="H106" s="157">
        <v>4</v>
      </c>
      <c r="I106" s="177">
        <v>0</v>
      </c>
      <c r="J106" s="157">
        <v>0</v>
      </c>
      <c r="K106" s="157">
        <v>0</v>
      </c>
      <c r="L106" s="177">
        <v>0</v>
      </c>
      <c r="M106" s="177">
        <v>0</v>
      </c>
      <c r="N106" s="157"/>
      <c r="O106" s="177">
        <v>0</v>
      </c>
      <c r="P106" s="177">
        <v>0</v>
      </c>
      <c r="Q106" s="177">
        <v>0</v>
      </c>
      <c r="R106" s="177">
        <v>0</v>
      </c>
      <c r="S106" s="177">
        <v>0</v>
      </c>
      <c r="T106" s="177">
        <v>0</v>
      </c>
      <c r="U106" s="177">
        <v>0</v>
      </c>
      <c r="V106" s="177">
        <v>0</v>
      </c>
      <c r="W106" s="159"/>
    </row>
    <row r="107" spans="1:23" x14ac:dyDescent="0.45">
      <c r="A107" s="157" t="s">
        <v>264</v>
      </c>
      <c r="B107" s="157" t="s">
        <v>305</v>
      </c>
      <c r="C107" s="175">
        <v>105</v>
      </c>
      <c r="D107" s="176"/>
      <c r="E107" s="157">
        <v>0</v>
      </c>
      <c r="F107" s="157">
        <v>1</v>
      </c>
      <c r="G107" s="157">
        <v>2</v>
      </c>
      <c r="H107" s="157">
        <v>4</v>
      </c>
      <c r="I107" s="177">
        <v>0</v>
      </c>
      <c r="J107" s="157">
        <v>0</v>
      </c>
      <c r="K107" s="157">
        <v>0</v>
      </c>
      <c r="L107" s="177">
        <v>0</v>
      </c>
      <c r="M107" s="177">
        <v>0</v>
      </c>
      <c r="N107" s="157"/>
      <c r="O107" s="177">
        <v>0</v>
      </c>
      <c r="P107" s="177">
        <v>0</v>
      </c>
      <c r="Q107" s="177">
        <v>0</v>
      </c>
      <c r="R107" s="177">
        <v>0</v>
      </c>
      <c r="S107" s="177">
        <v>0</v>
      </c>
      <c r="T107" s="177">
        <v>0</v>
      </c>
      <c r="U107" s="177">
        <v>0</v>
      </c>
      <c r="V107" s="177">
        <v>0</v>
      </c>
      <c r="W107" s="159"/>
    </row>
    <row r="108" spans="1:23" x14ac:dyDescent="0.45">
      <c r="A108" s="157" t="s">
        <v>306</v>
      </c>
      <c r="B108" s="157" t="s">
        <v>307</v>
      </c>
      <c r="C108" s="175">
        <v>106</v>
      </c>
      <c r="D108" s="176"/>
      <c r="E108" s="157">
        <v>1</v>
      </c>
      <c r="F108" s="157">
        <v>0</v>
      </c>
      <c r="G108" s="157">
        <v>2</v>
      </c>
      <c r="H108" s="157">
        <v>4</v>
      </c>
      <c r="I108" s="177">
        <v>0</v>
      </c>
      <c r="J108" s="157">
        <v>0</v>
      </c>
      <c r="K108" s="157">
        <v>0</v>
      </c>
      <c r="L108" s="177">
        <v>0</v>
      </c>
      <c r="M108" s="177">
        <v>0</v>
      </c>
      <c r="N108" s="157"/>
      <c r="O108" s="177">
        <v>0</v>
      </c>
      <c r="P108" s="177">
        <v>0</v>
      </c>
      <c r="Q108" s="177">
        <v>0</v>
      </c>
      <c r="R108" s="177">
        <v>0</v>
      </c>
      <c r="S108" s="177">
        <v>0</v>
      </c>
      <c r="T108" s="177">
        <v>0</v>
      </c>
      <c r="U108" s="177">
        <v>0</v>
      </c>
      <c r="V108" s="177">
        <v>0</v>
      </c>
      <c r="W108" s="159"/>
    </row>
    <row r="109" spans="1:23" x14ac:dyDescent="0.45">
      <c r="A109" s="157" t="s">
        <v>308</v>
      </c>
      <c r="B109" s="157" t="s">
        <v>164</v>
      </c>
      <c r="C109" s="175">
        <v>107</v>
      </c>
      <c r="D109" s="176"/>
      <c r="E109" s="157">
        <v>1</v>
      </c>
      <c r="F109" s="157">
        <v>0</v>
      </c>
      <c r="G109" s="157">
        <v>2</v>
      </c>
      <c r="H109" s="157">
        <v>4</v>
      </c>
      <c r="I109" s="177">
        <v>0</v>
      </c>
      <c r="J109" s="157">
        <v>0</v>
      </c>
      <c r="K109" s="157">
        <v>0</v>
      </c>
      <c r="L109" s="177">
        <v>0</v>
      </c>
      <c r="M109" s="177">
        <v>0</v>
      </c>
      <c r="N109" s="157"/>
      <c r="O109" s="177">
        <v>0</v>
      </c>
      <c r="P109" s="177">
        <v>0</v>
      </c>
      <c r="Q109" s="177">
        <v>0</v>
      </c>
      <c r="R109" s="177">
        <v>0</v>
      </c>
      <c r="S109" s="177">
        <v>0</v>
      </c>
      <c r="T109" s="177">
        <v>0</v>
      </c>
      <c r="U109" s="177">
        <v>0</v>
      </c>
      <c r="V109" s="177">
        <v>0</v>
      </c>
      <c r="W109" s="159"/>
    </row>
    <row r="110" spans="1:23" x14ac:dyDescent="0.45">
      <c r="A110" s="157" t="s">
        <v>309</v>
      </c>
      <c r="B110" s="157" t="s">
        <v>310</v>
      </c>
      <c r="C110" s="175">
        <v>108</v>
      </c>
      <c r="D110" s="176"/>
      <c r="E110" s="157">
        <v>1</v>
      </c>
      <c r="F110" s="157">
        <v>1</v>
      </c>
      <c r="G110" s="157">
        <v>2</v>
      </c>
      <c r="H110" s="157">
        <v>3</v>
      </c>
      <c r="I110" s="177">
        <v>0</v>
      </c>
      <c r="J110" s="157">
        <v>0</v>
      </c>
      <c r="K110" s="157">
        <v>0</v>
      </c>
      <c r="L110" s="177">
        <v>0</v>
      </c>
      <c r="M110" s="177">
        <v>0</v>
      </c>
      <c r="N110" s="157"/>
      <c r="O110" s="177">
        <v>0</v>
      </c>
      <c r="P110" s="177">
        <v>0</v>
      </c>
      <c r="Q110" s="177">
        <v>0</v>
      </c>
      <c r="R110" s="177">
        <v>0</v>
      </c>
      <c r="S110" s="177">
        <v>0</v>
      </c>
      <c r="T110" s="177">
        <v>0</v>
      </c>
      <c r="U110" s="177">
        <v>0</v>
      </c>
      <c r="V110" s="177">
        <v>0</v>
      </c>
      <c r="W110" s="159"/>
    </row>
    <row r="111" spans="1:23" x14ac:dyDescent="0.45">
      <c r="A111" s="157" t="s">
        <v>311</v>
      </c>
      <c r="B111" s="157" t="s">
        <v>312</v>
      </c>
      <c r="C111" s="175">
        <v>109</v>
      </c>
      <c r="D111" s="176"/>
      <c r="E111" s="157">
        <v>1</v>
      </c>
      <c r="F111" s="157">
        <v>1</v>
      </c>
      <c r="G111" s="157">
        <v>2</v>
      </c>
      <c r="H111" s="157">
        <v>3</v>
      </c>
      <c r="I111" s="177">
        <v>0</v>
      </c>
      <c r="J111" s="157">
        <v>0</v>
      </c>
      <c r="K111" s="157">
        <v>0</v>
      </c>
      <c r="L111" s="177">
        <v>0</v>
      </c>
      <c r="M111" s="177">
        <v>0</v>
      </c>
      <c r="N111" s="157"/>
      <c r="O111" s="177">
        <v>0</v>
      </c>
      <c r="P111" s="177">
        <v>0</v>
      </c>
      <c r="Q111" s="177">
        <v>0</v>
      </c>
      <c r="R111" s="177">
        <v>0</v>
      </c>
      <c r="S111" s="177">
        <v>0</v>
      </c>
      <c r="T111" s="177">
        <v>0</v>
      </c>
      <c r="U111" s="177">
        <v>0</v>
      </c>
      <c r="V111" s="177">
        <v>0</v>
      </c>
      <c r="W111" s="159"/>
    </row>
    <row r="112" spans="1:23" x14ac:dyDescent="0.45">
      <c r="A112" s="157" t="s">
        <v>313</v>
      </c>
      <c r="B112" s="157" t="s">
        <v>314</v>
      </c>
      <c r="C112" s="175">
        <v>110</v>
      </c>
      <c r="D112" s="176"/>
      <c r="E112" s="157">
        <v>0</v>
      </c>
      <c r="F112" s="157">
        <v>1</v>
      </c>
      <c r="G112" s="157">
        <v>2</v>
      </c>
      <c r="H112" s="157">
        <v>4</v>
      </c>
      <c r="I112" s="177">
        <v>0</v>
      </c>
      <c r="J112" s="157">
        <v>0</v>
      </c>
      <c r="K112" s="157">
        <v>0</v>
      </c>
      <c r="L112" s="177">
        <v>0</v>
      </c>
      <c r="M112" s="177">
        <v>0</v>
      </c>
      <c r="N112" s="157"/>
      <c r="O112" s="177">
        <v>0</v>
      </c>
      <c r="P112" s="177">
        <v>0</v>
      </c>
      <c r="Q112" s="177">
        <v>0</v>
      </c>
      <c r="R112" s="177">
        <v>0</v>
      </c>
      <c r="S112" s="177">
        <v>0</v>
      </c>
      <c r="T112" s="177">
        <v>0</v>
      </c>
      <c r="U112" s="177">
        <v>0</v>
      </c>
      <c r="V112" s="177">
        <v>0</v>
      </c>
      <c r="W112" s="159"/>
    </row>
    <row r="113" spans="1:23" x14ac:dyDescent="0.45">
      <c r="A113" s="157" t="s">
        <v>315</v>
      </c>
      <c r="B113" s="157" t="s">
        <v>316</v>
      </c>
      <c r="C113" s="175">
        <v>111</v>
      </c>
      <c r="D113" s="176"/>
      <c r="E113" s="157">
        <v>1</v>
      </c>
      <c r="F113" s="157">
        <v>0</v>
      </c>
      <c r="G113" s="157">
        <v>2</v>
      </c>
      <c r="H113" s="157">
        <v>2</v>
      </c>
      <c r="I113" s="177">
        <v>1</v>
      </c>
      <c r="J113" s="157">
        <v>1</v>
      </c>
      <c r="K113" s="157">
        <v>0</v>
      </c>
      <c r="L113" s="177">
        <v>0</v>
      </c>
      <c r="M113" s="177">
        <v>0</v>
      </c>
      <c r="N113" s="157"/>
      <c r="O113" s="177">
        <v>0</v>
      </c>
      <c r="P113" s="177">
        <v>0</v>
      </c>
      <c r="Q113" s="177">
        <v>0</v>
      </c>
      <c r="R113" s="177">
        <v>0</v>
      </c>
      <c r="S113" s="177">
        <v>0</v>
      </c>
      <c r="T113" s="177">
        <v>0</v>
      </c>
      <c r="U113" s="177">
        <v>0</v>
      </c>
      <c r="V113" s="177">
        <v>0</v>
      </c>
      <c r="W113" s="159"/>
    </row>
    <row r="114" spans="1:23" x14ac:dyDescent="0.45">
      <c r="A114" s="157" t="s">
        <v>317</v>
      </c>
      <c r="B114" s="157" t="s">
        <v>318</v>
      </c>
      <c r="C114" s="175">
        <v>112</v>
      </c>
      <c r="D114" s="176"/>
      <c r="E114" s="157">
        <v>0</v>
      </c>
      <c r="F114" s="157">
        <v>0</v>
      </c>
      <c r="G114" s="157">
        <v>2</v>
      </c>
      <c r="H114" s="157">
        <v>4</v>
      </c>
      <c r="I114" s="177">
        <v>0</v>
      </c>
      <c r="J114" s="157">
        <v>0</v>
      </c>
      <c r="K114" s="157">
        <v>0</v>
      </c>
      <c r="L114" s="177">
        <v>0</v>
      </c>
      <c r="M114" s="177">
        <v>0</v>
      </c>
      <c r="N114" s="157"/>
      <c r="O114" s="177">
        <v>0</v>
      </c>
      <c r="P114" s="177">
        <v>0</v>
      </c>
      <c r="Q114" s="177">
        <v>0</v>
      </c>
      <c r="R114" s="177">
        <v>0</v>
      </c>
      <c r="S114" s="177">
        <v>0</v>
      </c>
      <c r="T114" s="177">
        <v>0</v>
      </c>
      <c r="U114" s="177">
        <v>0</v>
      </c>
      <c r="V114" s="177">
        <v>0</v>
      </c>
      <c r="W114" s="159"/>
    </row>
    <row r="115" spans="1:23" x14ac:dyDescent="0.45">
      <c r="A115" s="157" t="s">
        <v>319</v>
      </c>
      <c r="B115" s="157" t="s">
        <v>320</v>
      </c>
      <c r="C115" s="175">
        <v>113</v>
      </c>
      <c r="D115" s="176"/>
      <c r="E115" s="157">
        <v>1</v>
      </c>
      <c r="F115" s="157">
        <v>1</v>
      </c>
      <c r="G115" s="157">
        <v>2</v>
      </c>
      <c r="H115" s="157">
        <v>3</v>
      </c>
      <c r="I115" s="177">
        <v>0</v>
      </c>
      <c r="J115" s="157">
        <v>0</v>
      </c>
      <c r="K115" s="157">
        <v>0</v>
      </c>
      <c r="L115" s="177">
        <v>0</v>
      </c>
      <c r="M115" s="177">
        <v>0</v>
      </c>
      <c r="N115" s="157"/>
      <c r="O115" s="177">
        <v>0</v>
      </c>
      <c r="P115" s="177">
        <v>0</v>
      </c>
      <c r="Q115" s="177">
        <v>0</v>
      </c>
      <c r="R115" s="177">
        <v>0</v>
      </c>
      <c r="S115" s="177">
        <v>0</v>
      </c>
      <c r="T115" s="177">
        <v>0</v>
      </c>
      <c r="U115" s="177">
        <v>0</v>
      </c>
      <c r="V115" s="177">
        <v>0</v>
      </c>
      <c r="W115" s="159"/>
    </row>
    <row r="116" spans="1:23" x14ac:dyDescent="0.45">
      <c r="A116" s="157" t="s">
        <v>321</v>
      </c>
      <c r="B116" s="157" t="s">
        <v>322</v>
      </c>
      <c r="C116" s="175">
        <v>114</v>
      </c>
      <c r="D116" s="176"/>
      <c r="E116" s="157">
        <v>0</v>
      </c>
      <c r="F116" s="157">
        <v>1</v>
      </c>
      <c r="G116" s="157">
        <v>2</v>
      </c>
      <c r="H116" s="157">
        <v>3</v>
      </c>
      <c r="I116" s="177">
        <v>0</v>
      </c>
      <c r="J116" s="157">
        <v>0</v>
      </c>
      <c r="K116" s="157">
        <v>0</v>
      </c>
      <c r="L116" s="177">
        <v>0</v>
      </c>
      <c r="M116" s="177">
        <v>0</v>
      </c>
      <c r="N116" s="157"/>
      <c r="O116" s="177">
        <v>0</v>
      </c>
      <c r="P116" s="177">
        <v>0</v>
      </c>
      <c r="Q116" s="177">
        <v>0</v>
      </c>
      <c r="R116" s="177">
        <v>0</v>
      </c>
      <c r="S116" s="177">
        <v>0</v>
      </c>
      <c r="T116" s="177">
        <v>0</v>
      </c>
      <c r="U116" s="177">
        <v>0</v>
      </c>
      <c r="V116" s="177">
        <v>0</v>
      </c>
      <c r="W116" s="159"/>
    </row>
    <row r="117" spans="1:23" x14ac:dyDescent="0.45">
      <c r="A117" s="157" t="s">
        <v>323</v>
      </c>
      <c r="B117" s="157" t="s">
        <v>324</v>
      </c>
      <c r="C117" s="175">
        <v>115</v>
      </c>
      <c r="D117" s="176"/>
      <c r="E117" s="157">
        <v>1</v>
      </c>
      <c r="F117" s="157">
        <v>1</v>
      </c>
      <c r="G117" s="157">
        <v>2</v>
      </c>
      <c r="H117" s="157">
        <v>3</v>
      </c>
      <c r="I117" s="177">
        <v>0</v>
      </c>
      <c r="J117" s="157">
        <v>1</v>
      </c>
      <c r="K117" s="157">
        <v>0</v>
      </c>
      <c r="L117" s="177">
        <v>0</v>
      </c>
      <c r="M117" s="177">
        <v>0</v>
      </c>
      <c r="N117" s="157"/>
      <c r="O117" s="177">
        <v>0</v>
      </c>
      <c r="P117" s="177">
        <v>0</v>
      </c>
      <c r="Q117" s="177">
        <v>0</v>
      </c>
      <c r="R117" s="177">
        <v>0</v>
      </c>
      <c r="S117" s="177">
        <v>0</v>
      </c>
      <c r="T117" s="177">
        <v>1</v>
      </c>
      <c r="U117" s="177">
        <v>0</v>
      </c>
      <c r="V117" s="177">
        <v>0</v>
      </c>
      <c r="W117" s="159"/>
    </row>
    <row r="118" spans="1:23" x14ac:dyDescent="0.45">
      <c r="A118" s="157" t="s">
        <v>291</v>
      </c>
      <c r="B118" s="157" t="s">
        <v>325</v>
      </c>
      <c r="C118" s="175">
        <v>116</v>
      </c>
      <c r="D118" s="176"/>
      <c r="E118" s="157">
        <v>1</v>
      </c>
      <c r="F118" s="157">
        <v>0</v>
      </c>
      <c r="G118" s="157">
        <v>2</v>
      </c>
      <c r="H118" s="157">
        <v>4</v>
      </c>
      <c r="I118" s="177">
        <v>0</v>
      </c>
      <c r="J118" s="157">
        <v>1</v>
      </c>
      <c r="K118" s="157">
        <v>0</v>
      </c>
      <c r="L118" s="177">
        <v>0</v>
      </c>
      <c r="M118" s="177">
        <v>0</v>
      </c>
      <c r="N118" s="178"/>
      <c r="O118" s="177">
        <v>0</v>
      </c>
      <c r="P118" s="177">
        <v>0</v>
      </c>
      <c r="Q118" s="177">
        <v>0</v>
      </c>
      <c r="R118" s="177">
        <v>0</v>
      </c>
      <c r="S118" s="177">
        <v>0</v>
      </c>
      <c r="T118" s="177">
        <v>1</v>
      </c>
      <c r="U118" s="177">
        <v>0</v>
      </c>
      <c r="V118" s="177">
        <v>0</v>
      </c>
      <c r="W118" s="159"/>
    </row>
    <row r="119" spans="1:23" x14ac:dyDescent="0.45">
      <c r="A119" s="157" t="s">
        <v>326</v>
      </c>
      <c r="B119" s="157" t="s">
        <v>327</v>
      </c>
      <c r="C119" s="175">
        <v>117</v>
      </c>
      <c r="D119" s="176"/>
      <c r="E119" s="157">
        <v>0</v>
      </c>
      <c r="F119" s="157">
        <v>0</v>
      </c>
      <c r="G119" s="157">
        <v>2</v>
      </c>
      <c r="H119" s="157">
        <v>3</v>
      </c>
      <c r="I119" s="177">
        <v>0</v>
      </c>
      <c r="J119" s="157">
        <v>0</v>
      </c>
      <c r="K119" s="157">
        <v>0</v>
      </c>
      <c r="L119" s="177">
        <v>0</v>
      </c>
      <c r="M119" s="177">
        <v>0</v>
      </c>
      <c r="N119" s="157"/>
      <c r="O119" s="177">
        <v>0</v>
      </c>
      <c r="P119" s="177">
        <v>0</v>
      </c>
      <c r="Q119" s="177">
        <v>0</v>
      </c>
      <c r="R119" s="177">
        <v>0</v>
      </c>
      <c r="S119" s="177">
        <v>0</v>
      </c>
      <c r="T119" s="177">
        <v>0</v>
      </c>
      <c r="U119" s="177">
        <v>0</v>
      </c>
      <c r="V119" s="177">
        <v>0</v>
      </c>
      <c r="W119" s="159"/>
    </row>
    <row r="120" spans="1:23" x14ac:dyDescent="0.45">
      <c r="A120" s="157" t="s">
        <v>328</v>
      </c>
      <c r="B120" s="157" t="s">
        <v>329</v>
      </c>
      <c r="C120" s="175">
        <v>118</v>
      </c>
      <c r="D120" s="176"/>
      <c r="E120" s="157">
        <v>0</v>
      </c>
      <c r="F120" s="157">
        <v>1</v>
      </c>
      <c r="G120" s="157">
        <v>2</v>
      </c>
      <c r="H120" s="157">
        <v>4</v>
      </c>
      <c r="I120" s="177">
        <v>0</v>
      </c>
      <c r="J120" s="157">
        <v>0</v>
      </c>
      <c r="K120" s="157">
        <v>0</v>
      </c>
      <c r="L120" s="177">
        <v>0</v>
      </c>
      <c r="M120" s="177">
        <v>0</v>
      </c>
      <c r="N120" s="157"/>
      <c r="O120" s="177">
        <v>0</v>
      </c>
      <c r="P120" s="177">
        <v>0</v>
      </c>
      <c r="Q120" s="177">
        <v>0</v>
      </c>
      <c r="R120" s="177">
        <v>0</v>
      </c>
      <c r="S120" s="177">
        <v>0</v>
      </c>
      <c r="T120" s="177">
        <v>0</v>
      </c>
      <c r="U120" s="177">
        <v>0</v>
      </c>
      <c r="V120" s="177">
        <v>0</v>
      </c>
      <c r="W120" s="159"/>
    </row>
    <row r="121" spans="1:23" x14ac:dyDescent="0.45">
      <c r="A121" s="157" t="s">
        <v>330</v>
      </c>
      <c r="B121" s="157" t="s">
        <v>331</v>
      </c>
      <c r="C121" s="175">
        <v>119</v>
      </c>
      <c r="D121" s="176"/>
      <c r="E121" s="157">
        <v>1</v>
      </c>
      <c r="F121" s="157">
        <v>1</v>
      </c>
      <c r="G121" s="157">
        <v>2</v>
      </c>
      <c r="H121" s="157">
        <v>2</v>
      </c>
      <c r="I121" s="177">
        <v>0</v>
      </c>
      <c r="J121" s="157">
        <v>0</v>
      </c>
      <c r="K121" s="157">
        <v>0</v>
      </c>
      <c r="L121" s="177">
        <v>0</v>
      </c>
      <c r="M121" s="177">
        <v>0</v>
      </c>
      <c r="N121" s="157"/>
      <c r="O121" s="177">
        <v>0</v>
      </c>
      <c r="P121" s="177">
        <v>0</v>
      </c>
      <c r="Q121" s="177">
        <v>0</v>
      </c>
      <c r="R121" s="177">
        <v>0</v>
      </c>
      <c r="S121" s="177">
        <v>0</v>
      </c>
      <c r="T121" s="177">
        <v>0</v>
      </c>
      <c r="U121" s="177">
        <v>0</v>
      </c>
      <c r="V121" s="177">
        <v>0</v>
      </c>
      <c r="W121" s="159"/>
    </row>
    <row r="122" spans="1:23" x14ac:dyDescent="0.45">
      <c r="A122" s="157" t="s">
        <v>146</v>
      </c>
      <c r="B122" s="157" t="s">
        <v>332</v>
      </c>
      <c r="C122" s="175">
        <v>120</v>
      </c>
      <c r="D122" s="176"/>
      <c r="E122" s="157">
        <v>0</v>
      </c>
      <c r="F122" s="157">
        <v>0</v>
      </c>
      <c r="G122" s="157">
        <v>2</v>
      </c>
      <c r="H122" s="157">
        <v>2</v>
      </c>
      <c r="I122" s="177">
        <v>1</v>
      </c>
      <c r="J122" s="157">
        <v>0</v>
      </c>
      <c r="K122" s="157">
        <v>0</v>
      </c>
      <c r="L122" s="177">
        <v>0</v>
      </c>
      <c r="M122" s="177">
        <v>0</v>
      </c>
      <c r="N122" s="157"/>
      <c r="O122" s="177">
        <v>0</v>
      </c>
      <c r="P122" s="177">
        <v>0</v>
      </c>
      <c r="Q122" s="177">
        <v>0</v>
      </c>
      <c r="R122" s="177">
        <v>0</v>
      </c>
      <c r="S122" s="177">
        <v>0</v>
      </c>
      <c r="T122" s="177">
        <v>0</v>
      </c>
      <c r="U122" s="177">
        <v>1</v>
      </c>
      <c r="V122" s="177">
        <v>0</v>
      </c>
      <c r="W122" s="159"/>
    </row>
    <row r="123" spans="1:23" x14ac:dyDescent="0.45">
      <c r="A123" s="157" t="s">
        <v>333</v>
      </c>
      <c r="B123" s="157" t="s">
        <v>334</v>
      </c>
      <c r="C123" s="175">
        <v>121</v>
      </c>
      <c r="D123" s="176"/>
      <c r="E123" s="157">
        <v>0</v>
      </c>
      <c r="F123" s="157">
        <v>0</v>
      </c>
      <c r="G123" s="157">
        <v>2</v>
      </c>
      <c r="H123" s="157">
        <v>4</v>
      </c>
      <c r="I123" s="177">
        <v>0</v>
      </c>
      <c r="J123" s="157">
        <v>0</v>
      </c>
      <c r="K123" s="157">
        <v>0</v>
      </c>
      <c r="L123" s="177">
        <v>0</v>
      </c>
      <c r="M123" s="177">
        <v>0</v>
      </c>
      <c r="N123" s="157"/>
      <c r="O123" s="177">
        <v>0</v>
      </c>
      <c r="P123" s="177">
        <v>0</v>
      </c>
      <c r="Q123" s="177">
        <v>0</v>
      </c>
      <c r="R123" s="177">
        <v>0</v>
      </c>
      <c r="S123" s="177">
        <v>0</v>
      </c>
      <c r="T123" s="177">
        <v>0</v>
      </c>
      <c r="U123" s="177">
        <v>0</v>
      </c>
      <c r="V123" s="177">
        <v>0</v>
      </c>
      <c r="W123" s="159"/>
    </row>
    <row r="124" spans="1:23" x14ac:dyDescent="0.45">
      <c r="A124" s="157" t="s">
        <v>335</v>
      </c>
      <c r="B124" s="157" t="s">
        <v>336</v>
      </c>
      <c r="C124" s="175">
        <v>122</v>
      </c>
      <c r="D124" s="176"/>
      <c r="E124" s="157">
        <v>0</v>
      </c>
      <c r="F124" s="157">
        <v>1</v>
      </c>
      <c r="G124" s="157">
        <v>2</v>
      </c>
      <c r="H124" s="157">
        <v>4</v>
      </c>
      <c r="I124" s="177">
        <v>0</v>
      </c>
      <c r="J124" s="157">
        <v>0</v>
      </c>
      <c r="K124" s="157">
        <v>0</v>
      </c>
      <c r="L124" s="177">
        <v>0</v>
      </c>
      <c r="M124" s="177">
        <v>0</v>
      </c>
      <c r="N124" s="157"/>
      <c r="O124" s="177">
        <v>0</v>
      </c>
      <c r="P124" s="177">
        <v>0</v>
      </c>
      <c r="Q124" s="177">
        <v>0</v>
      </c>
      <c r="R124" s="177">
        <v>0</v>
      </c>
      <c r="S124" s="177">
        <v>0</v>
      </c>
      <c r="T124" s="177">
        <v>0</v>
      </c>
      <c r="U124" s="177">
        <v>0</v>
      </c>
      <c r="V124" s="177">
        <v>0</v>
      </c>
      <c r="W124" s="159"/>
    </row>
    <row r="125" spans="1:23" x14ac:dyDescent="0.45">
      <c r="A125" s="157" t="s">
        <v>337</v>
      </c>
      <c r="B125" s="157" t="s">
        <v>338</v>
      </c>
      <c r="C125" s="175">
        <v>123</v>
      </c>
      <c r="D125" s="176"/>
      <c r="E125" s="157">
        <v>1</v>
      </c>
      <c r="F125" s="157">
        <v>1</v>
      </c>
      <c r="G125" s="157">
        <v>2</v>
      </c>
      <c r="H125" s="157">
        <v>3</v>
      </c>
      <c r="I125" s="177">
        <v>0</v>
      </c>
      <c r="J125" s="157">
        <v>0</v>
      </c>
      <c r="K125" s="157">
        <v>0</v>
      </c>
      <c r="L125" s="177">
        <v>0</v>
      </c>
      <c r="M125" s="177">
        <v>0</v>
      </c>
      <c r="N125" s="157"/>
      <c r="O125" s="177">
        <v>0</v>
      </c>
      <c r="P125" s="177">
        <v>0</v>
      </c>
      <c r="Q125" s="177">
        <v>0</v>
      </c>
      <c r="R125" s="177">
        <v>0</v>
      </c>
      <c r="S125" s="177">
        <v>0</v>
      </c>
      <c r="T125" s="177">
        <v>0</v>
      </c>
      <c r="U125" s="177">
        <v>0</v>
      </c>
      <c r="V125" s="177">
        <v>0</v>
      </c>
      <c r="W125" s="159"/>
    </row>
    <row r="126" spans="1:23" x14ac:dyDescent="0.45">
      <c r="A126" s="157" t="s">
        <v>339</v>
      </c>
      <c r="B126" s="157" t="s">
        <v>340</v>
      </c>
      <c r="C126" s="175">
        <v>124</v>
      </c>
      <c r="D126" s="176"/>
      <c r="E126" s="157">
        <v>1</v>
      </c>
      <c r="F126" s="157">
        <v>1</v>
      </c>
      <c r="G126" s="157">
        <v>2</v>
      </c>
      <c r="H126" s="157">
        <v>3</v>
      </c>
      <c r="I126" s="177">
        <v>0</v>
      </c>
      <c r="J126" s="157">
        <v>0</v>
      </c>
      <c r="K126" s="157">
        <v>0</v>
      </c>
      <c r="L126" s="177">
        <v>0</v>
      </c>
      <c r="M126" s="177">
        <v>0</v>
      </c>
      <c r="N126" s="157"/>
      <c r="O126" s="177">
        <v>0</v>
      </c>
      <c r="P126" s="177">
        <v>0</v>
      </c>
      <c r="Q126" s="177">
        <v>0</v>
      </c>
      <c r="R126" s="177">
        <v>0</v>
      </c>
      <c r="S126" s="177">
        <v>0</v>
      </c>
      <c r="T126" s="177">
        <v>0</v>
      </c>
      <c r="U126" s="177">
        <v>0</v>
      </c>
      <c r="V126" s="177">
        <v>0</v>
      </c>
      <c r="W126" s="159"/>
    </row>
    <row r="127" spans="1:23" x14ac:dyDescent="0.45">
      <c r="A127" s="157" t="s">
        <v>341</v>
      </c>
      <c r="B127" s="157" t="s">
        <v>342</v>
      </c>
      <c r="C127" s="175">
        <v>125</v>
      </c>
      <c r="D127" s="176"/>
      <c r="E127" s="157">
        <v>0</v>
      </c>
      <c r="F127" s="157">
        <v>0</v>
      </c>
      <c r="G127" s="157">
        <v>2</v>
      </c>
      <c r="H127" s="157">
        <v>4</v>
      </c>
      <c r="I127" s="177">
        <v>0</v>
      </c>
      <c r="J127" s="157">
        <v>1</v>
      </c>
      <c r="K127" s="157">
        <v>0</v>
      </c>
      <c r="L127" s="177">
        <v>0</v>
      </c>
      <c r="M127" s="177">
        <v>0</v>
      </c>
      <c r="N127" s="157"/>
      <c r="O127" s="177">
        <v>0</v>
      </c>
      <c r="P127" s="177">
        <v>0</v>
      </c>
      <c r="Q127" s="177">
        <v>1</v>
      </c>
      <c r="R127" s="177">
        <v>0</v>
      </c>
      <c r="S127" s="177">
        <v>0</v>
      </c>
      <c r="T127" s="177">
        <v>1</v>
      </c>
      <c r="U127" s="177">
        <v>0</v>
      </c>
      <c r="V127" s="177">
        <v>0</v>
      </c>
      <c r="W127" s="159"/>
    </row>
    <row r="128" spans="1:23" x14ac:dyDescent="0.45">
      <c r="A128" s="157" t="s">
        <v>343</v>
      </c>
      <c r="B128" s="157" t="s">
        <v>133</v>
      </c>
      <c r="C128" s="175">
        <v>126</v>
      </c>
      <c r="D128" s="176"/>
      <c r="E128" s="157">
        <v>1</v>
      </c>
      <c r="F128" s="157">
        <v>0</v>
      </c>
      <c r="G128" s="157">
        <v>2</v>
      </c>
      <c r="H128" s="157">
        <v>3</v>
      </c>
      <c r="I128" s="177">
        <v>0</v>
      </c>
      <c r="J128" s="157">
        <v>0</v>
      </c>
      <c r="K128" s="157">
        <v>0</v>
      </c>
      <c r="L128" s="177">
        <v>0</v>
      </c>
      <c r="M128" s="177">
        <v>0</v>
      </c>
      <c r="N128" s="157"/>
      <c r="O128" s="177">
        <v>0</v>
      </c>
      <c r="P128" s="177">
        <v>0</v>
      </c>
      <c r="Q128" s="177">
        <v>0</v>
      </c>
      <c r="R128" s="177">
        <v>0</v>
      </c>
      <c r="S128" s="177">
        <v>0</v>
      </c>
      <c r="T128" s="177">
        <v>0</v>
      </c>
      <c r="U128" s="177">
        <v>0</v>
      </c>
      <c r="V128" s="177">
        <v>0</v>
      </c>
      <c r="W128" s="159"/>
    </row>
    <row r="129" spans="1:23" x14ac:dyDescent="0.45">
      <c r="A129" s="157" t="s">
        <v>161</v>
      </c>
      <c r="B129" s="157" t="s">
        <v>344</v>
      </c>
      <c r="C129" s="175">
        <v>127</v>
      </c>
      <c r="D129" s="176"/>
      <c r="E129" s="157">
        <v>1</v>
      </c>
      <c r="F129" s="157">
        <v>0</v>
      </c>
      <c r="G129" s="157">
        <v>2</v>
      </c>
      <c r="H129" s="157">
        <v>2</v>
      </c>
      <c r="I129" s="177">
        <v>1</v>
      </c>
      <c r="J129" s="157">
        <v>0</v>
      </c>
      <c r="K129" s="157">
        <v>0</v>
      </c>
      <c r="L129" s="177">
        <v>0</v>
      </c>
      <c r="M129" s="177">
        <v>0</v>
      </c>
      <c r="N129" s="157"/>
      <c r="O129" s="177">
        <v>0</v>
      </c>
      <c r="P129" s="177">
        <v>0</v>
      </c>
      <c r="Q129" s="177">
        <v>0</v>
      </c>
      <c r="R129" s="177">
        <v>0</v>
      </c>
      <c r="S129" s="177">
        <v>0</v>
      </c>
      <c r="T129" s="177">
        <v>0</v>
      </c>
      <c r="U129" s="177">
        <v>0</v>
      </c>
      <c r="V129" s="177">
        <v>0</v>
      </c>
      <c r="W129" s="159"/>
    </row>
    <row r="130" spans="1:23" x14ac:dyDescent="0.45">
      <c r="A130" s="157" t="s">
        <v>345</v>
      </c>
      <c r="B130" s="157" t="s">
        <v>346</v>
      </c>
      <c r="C130" s="175">
        <v>128</v>
      </c>
      <c r="D130" s="176"/>
      <c r="E130" s="157">
        <v>1</v>
      </c>
      <c r="F130" s="157">
        <v>1</v>
      </c>
      <c r="G130" s="157">
        <v>2</v>
      </c>
      <c r="H130" s="157">
        <v>3</v>
      </c>
      <c r="I130" s="177">
        <v>0</v>
      </c>
      <c r="J130" s="157">
        <v>0</v>
      </c>
      <c r="K130" s="157">
        <v>0</v>
      </c>
      <c r="L130" s="177">
        <v>0</v>
      </c>
      <c r="M130" s="177">
        <v>0</v>
      </c>
      <c r="N130" s="157"/>
      <c r="O130" s="177">
        <v>0</v>
      </c>
      <c r="P130" s="177">
        <v>0</v>
      </c>
      <c r="Q130" s="177">
        <v>0</v>
      </c>
      <c r="R130" s="177">
        <v>0</v>
      </c>
      <c r="S130" s="177">
        <v>0</v>
      </c>
      <c r="T130" s="177">
        <v>0</v>
      </c>
      <c r="U130" s="177">
        <v>0</v>
      </c>
      <c r="V130" s="177">
        <v>0</v>
      </c>
      <c r="W130" s="159"/>
    </row>
    <row r="131" spans="1:23" x14ac:dyDescent="0.45">
      <c r="A131" s="157" t="s">
        <v>347</v>
      </c>
      <c r="B131" s="157" t="s">
        <v>348</v>
      </c>
      <c r="C131" s="175">
        <v>129</v>
      </c>
      <c r="D131" s="176"/>
      <c r="E131" s="157">
        <v>0</v>
      </c>
      <c r="F131" s="157">
        <v>1</v>
      </c>
      <c r="G131" s="157">
        <v>2</v>
      </c>
      <c r="H131" s="157">
        <v>4</v>
      </c>
      <c r="I131" s="177">
        <v>0</v>
      </c>
      <c r="J131" s="157">
        <v>0</v>
      </c>
      <c r="K131" s="157">
        <v>0</v>
      </c>
      <c r="L131" s="177">
        <v>0</v>
      </c>
      <c r="M131" s="177">
        <v>0</v>
      </c>
      <c r="N131" s="157"/>
      <c r="O131" s="177">
        <v>0</v>
      </c>
      <c r="P131" s="177">
        <v>0</v>
      </c>
      <c r="Q131" s="177">
        <v>0</v>
      </c>
      <c r="R131" s="177">
        <v>0</v>
      </c>
      <c r="S131" s="177">
        <v>0</v>
      </c>
      <c r="T131" s="177">
        <v>0</v>
      </c>
      <c r="U131" s="177">
        <v>0</v>
      </c>
      <c r="V131" s="177">
        <v>0</v>
      </c>
      <c r="W131" s="159"/>
    </row>
    <row r="132" spans="1:23" x14ac:dyDescent="0.45">
      <c r="A132" s="157" t="s">
        <v>349</v>
      </c>
      <c r="B132" s="157" t="s">
        <v>350</v>
      </c>
      <c r="C132" s="175">
        <v>130</v>
      </c>
      <c r="D132" s="176"/>
      <c r="E132" s="157">
        <v>1</v>
      </c>
      <c r="F132" s="157">
        <v>1</v>
      </c>
      <c r="G132" s="157">
        <v>2</v>
      </c>
      <c r="H132" s="157">
        <v>2</v>
      </c>
      <c r="I132" s="177">
        <v>0</v>
      </c>
      <c r="J132" s="157">
        <v>0</v>
      </c>
      <c r="K132" s="157">
        <v>0</v>
      </c>
      <c r="L132" s="177">
        <v>0</v>
      </c>
      <c r="M132" s="177">
        <v>0</v>
      </c>
      <c r="N132" s="157"/>
      <c r="O132" s="177">
        <v>0</v>
      </c>
      <c r="P132" s="177">
        <v>0</v>
      </c>
      <c r="Q132" s="177">
        <v>1</v>
      </c>
      <c r="R132" s="177">
        <v>0</v>
      </c>
      <c r="S132" s="177">
        <v>0</v>
      </c>
      <c r="T132" s="177">
        <v>0</v>
      </c>
      <c r="U132" s="177">
        <v>0</v>
      </c>
      <c r="V132" s="177">
        <v>0</v>
      </c>
      <c r="W132" s="159"/>
    </row>
    <row r="133" spans="1:23" x14ac:dyDescent="0.45">
      <c r="A133" s="157" t="s">
        <v>351</v>
      </c>
      <c r="B133" s="157" t="s">
        <v>352</v>
      </c>
      <c r="C133" s="175">
        <v>131</v>
      </c>
      <c r="D133" s="176"/>
      <c r="E133" s="157">
        <v>0</v>
      </c>
      <c r="F133" s="157">
        <v>1</v>
      </c>
      <c r="G133" s="157">
        <v>2</v>
      </c>
      <c r="H133" s="157">
        <v>2</v>
      </c>
      <c r="I133" s="177">
        <v>1</v>
      </c>
      <c r="J133" s="157">
        <v>0</v>
      </c>
      <c r="K133" s="157">
        <v>0</v>
      </c>
      <c r="L133" s="177">
        <v>0</v>
      </c>
      <c r="M133" s="177">
        <v>0</v>
      </c>
      <c r="N133" s="157"/>
      <c r="O133" s="177">
        <v>0</v>
      </c>
      <c r="P133" s="177">
        <v>0</v>
      </c>
      <c r="Q133" s="177">
        <v>0</v>
      </c>
      <c r="R133" s="177">
        <v>0</v>
      </c>
      <c r="S133" s="177">
        <v>0</v>
      </c>
      <c r="T133" s="177">
        <v>0</v>
      </c>
      <c r="U133" s="177">
        <v>1</v>
      </c>
      <c r="V133" s="177">
        <v>0</v>
      </c>
      <c r="W133" s="159"/>
    </row>
    <row r="134" spans="1:23" x14ac:dyDescent="0.45">
      <c r="A134" s="157" t="s">
        <v>353</v>
      </c>
      <c r="B134" s="157" t="s">
        <v>354</v>
      </c>
      <c r="C134" s="175">
        <v>132</v>
      </c>
      <c r="D134" s="176"/>
      <c r="E134" s="157">
        <v>0</v>
      </c>
      <c r="F134" s="157">
        <v>1</v>
      </c>
      <c r="G134" s="157">
        <v>2</v>
      </c>
      <c r="H134" s="157">
        <v>4</v>
      </c>
      <c r="I134" s="177">
        <v>0</v>
      </c>
      <c r="J134" s="157">
        <v>0</v>
      </c>
      <c r="K134" s="157">
        <v>0</v>
      </c>
      <c r="L134" s="177">
        <v>0</v>
      </c>
      <c r="M134" s="177">
        <v>0</v>
      </c>
      <c r="N134" s="157"/>
      <c r="O134" s="177">
        <v>0</v>
      </c>
      <c r="P134" s="177">
        <v>0</v>
      </c>
      <c r="Q134" s="177">
        <v>0</v>
      </c>
      <c r="R134" s="177">
        <v>0</v>
      </c>
      <c r="S134" s="177">
        <v>0</v>
      </c>
      <c r="T134" s="177">
        <v>0</v>
      </c>
      <c r="U134" s="177">
        <v>0</v>
      </c>
      <c r="V134" s="177">
        <v>0</v>
      </c>
      <c r="W134" s="159"/>
    </row>
    <row r="135" spans="1:23" x14ac:dyDescent="0.45">
      <c r="A135" s="157" t="s">
        <v>355</v>
      </c>
      <c r="B135" s="157" t="s">
        <v>356</v>
      </c>
      <c r="C135" s="175">
        <v>133</v>
      </c>
      <c r="D135" s="176"/>
      <c r="E135" s="157">
        <v>1</v>
      </c>
      <c r="F135" s="157">
        <v>0</v>
      </c>
      <c r="G135" s="157">
        <v>1</v>
      </c>
      <c r="H135" s="157">
        <v>3</v>
      </c>
      <c r="I135" s="177">
        <v>0</v>
      </c>
      <c r="J135" s="157">
        <v>1</v>
      </c>
      <c r="K135" s="157">
        <v>0</v>
      </c>
      <c r="L135" s="177">
        <v>0</v>
      </c>
      <c r="M135" s="177">
        <v>0</v>
      </c>
      <c r="N135" s="157"/>
      <c r="O135" s="177">
        <v>0</v>
      </c>
      <c r="P135" s="177">
        <v>0</v>
      </c>
      <c r="Q135" s="177">
        <v>0</v>
      </c>
      <c r="R135" s="177">
        <v>0</v>
      </c>
      <c r="S135" s="177">
        <v>0</v>
      </c>
      <c r="T135" s="177">
        <v>0</v>
      </c>
      <c r="U135" s="177">
        <v>1</v>
      </c>
      <c r="V135" s="177">
        <v>0</v>
      </c>
      <c r="W135" s="159"/>
    </row>
    <row r="136" spans="1:23" x14ac:dyDescent="0.45">
      <c r="A136" s="157" t="s">
        <v>357</v>
      </c>
      <c r="B136" s="157" t="s">
        <v>358</v>
      </c>
      <c r="C136" s="175">
        <v>134</v>
      </c>
      <c r="D136" s="176"/>
      <c r="E136" s="157">
        <v>1</v>
      </c>
      <c r="F136" s="157">
        <v>1</v>
      </c>
      <c r="G136" s="157">
        <v>1</v>
      </c>
      <c r="H136" s="157">
        <v>2</v>
      </c>
      <c r="I136" s="177">
        <v>0</v>
      </c>
      <c r="J136" s="157">
        <v>0</v>
      </c>
      <c r="K136" s="157">
        <v>0</v>
      </c>
      <c r="L136" s="177">
        <v>0</v>
      </c>
      <c r="M136" s="177">
        <v>0</v>
      </c>
      <c r="N136" s="157"/>
      <c r="O136" s="177">
        <v>0</v>
      </c>
      <c r="P136" s="177">
        <v>0</v>
      </c>
      <c r="Q136" s="177">
        <v>0</v>
      </c>
      <c r="R136" s="177">
        <v>0</v>
      </c>
      <c r="S136" s="177">
        <v>0</v>
      </c>
      <c r="T136" s="177">
        <v>0</v>
      </c>
      <c r="U136" s="177">
        <v>0</v>
      </c>
      <c r="V136" s="177">
        <v>0</v>
      </c>
      <c r="W136" s="159"/>
    </row>
    <row r="137" spans="1:23" x14ac:dyDescent="0.45">
      <c r="A137" s="157" t="s">
        <v>359</v>
      </c>
      <c r="B137" s="157" t="s">
        <v>360</v>
      </c>
      <c r="C137" s="175">
        <v>135</v>
      </c>
      <c r="D137" s="176"/>
      <c r="E137" s="157">
        <v>1</v>
      </c>
      <c r="F137" s="157">
        <v>1</v>
      </c>
      <c r="G137" s="157">
        <v>1</v>
      </c>
      <c r="H137" s="157">
        <v>4</v>
      </c>
      <c r="I137" s="177">
        <v>0</v>
      </c>
      <c r="J137" s="157">
        <v>0</v>
      </c>
      <c r="K137" s="157">
        <v>0</v>
      </c>
      <c r="L137" s="177">
        <v>0</v>
      </c>
      <c r="M137" s="177">
        <v>0</v>
      </c>
      <c r="N137" s="157"/>
      <c r="O137" s="177">
        <v>0</v>
      </c>
      <c r="P137" s="177">
        <v>0</v>
      </c>
      <c r="Q137" s="177">
        <v>0</v>
      </c>
      <c r="R137" s="177">
        <v>0</v>
      </c>
      <c r="S137" s="177">
        <v>0</v>
      </c>
      <c r="T137" s="177">
        <v>0</v>
      </c>
      <c r="U137" s="177">
        <v>0</v>
      </c>
      <c r="V137" s="177">
        <v>0</v>
      </c>
      <c r="W137" s="159"/>
    </row>
    <row r="138" spans="1:23" x14ac:dyDescent="0.45">
      <c r="A138" s="157" t="s">
        <v>361</v>
      </c>
      <c r="B138" s="157" t="s">
        <v>171</v>
      </c>
      <c r="C138" s="175">
        <v>136</v>
      </c>
      <c r="D138" s="176"/>
      <c r="E138" s="157">
        <v>1</v>
      </c>
      <c r="F138" s="157">
        <v>0</v>
      </c>
      <c r="G138" s="157">
        <v>1</v>
      </c>
      <c r="H138" s="157">
        <v>3</v>
      </c>
      <c r="I138" s="177">
        <v>1</v>
      </c>
      <c r="J138" s="157">
        <v>0</v>
      </c>
      <c r="K138" s="157">
        <v>0</v>
      </c>
      <c r="L138" s="177">
        <v>0</v>
      </c>
      <c r="M138" s="177">
        <v>0</v>
      </c>
      <c r="N138" s="157"/>
      <c r="O138" s="177">
        <v>0</v>
      </c>
      <c r="P138" s="177">
        <v>0</v>
      </c>
      <c r="Q138" s="177">
        <v>0</v>
      </c>
      <c r="R138" s="177">
        <v>0</v>
      </c>
      <c r="S138" s="177">
        <v>0</v>
      </c>
      <c r="T138" s="177">
        <v>1</v>
      </c>
      <c r="U138" s="177">
        <v>0</v>
      </c>
      <c r="V138" s="177">
        <v>0</v>
      </c>
      <c r="W138" s="159"/>
    </row>
    <row r="139" spans="1:23" x14ac:dyDescent="0.45">
      <c r="A139" s="157" t="s">
        <v>362</v>
      </c>
      <c r="B139" s="157" t="s">
        <v>363</v>
      </c>
      <c r="C139" s="175">
        <v>137</v>
      </c>
      <c r="D139" s="176"/>
      <c r="E139" s="157">
        <v>0</v>
      </c>
      <c r="F139" s="157">
        <v>1</v>
      </c>
      <c r="G139" s="157">
        <v>1</v>
      </c>
      <c r="H139" s="157">
        <v>4</v>
      </c>
      <c r="I139" s="177">
        <v>0</v>
      </c>
      <c r="J139" s="157">
        <v>0</v>
      </c>
      <c r="K139" s="157">
        <v>0</v>
      </c>
      <c r="L139" s="177">
        <v>0</v>
      </c>
      <c r="M139" s="177">
        <v>0</v>
      </c>
      <c r="N139" s="157"/>
      <c r="O139" s="177">
        <v>0</v>
      </c>
      <c r="P139" s="177">
        <v>0</v>
      </c>
      <c r="Q139" s="177">
        <v>0</v>
      </c>
      <c r="R139" s="177">
        <v>0</v>
      </c>
      <c r="S139" s="177">
        <v>0</v>
      </c>
      <c r="T139" s="177">
        <v>0</v>
      </c>
      <c r="U139" s="177">
        <v>0</v>
      </c>
      <c r="V139" s="177">
        <v>0</v>
      </c>
      <c r="W139" s="159"/>
    </row>
    <row r="140" spans="1:23" x14ac:dyDescent="0.45">
      <c r="A140" s="157" t="s">
        <v>364</v>
      </c>
      <c r="B140" s="157" t="s">
        <v>365</v>
      </c>
      <c r="C140" s="175">
        <v>138</v>
      </c>
      <c r="D140" s="176"/>
      <c r="E140" s="157">
        <v>1</v>
      </c>
      <c r="F140" s="157">
        <v>1</v>
      </c>
      <c r="G140" s="157">
        <v>1</v>
      </c>
      <c r="H140" s="157">
        <v>1</v>
      </c>
      <c r="I140" s="177">
        <v>1</v>
      </c>
      <c r="J140" s="157">
        <v>0</v>
      </c>
      <c r="K140" s="157">
        <v>0</v>
      </c>
      <c r="L140" s="177">
        <v>0</v>
      </c>
      <c r="M140" s="177">
        <v>0</v>
      </c>
      <c r="N140" s="157"/>
      <c r="O140" s="177">
        <v>0</v>
      </c>
      <c r="P140" s="177">
        <v>0</v>
      </c>
      <c r="Q140" s="177">
        <v>0</v>
      </c>
      <c r="R140" s="177">
        <v>0</v>
      </c>
      <c r="S140" s="177">
        <v>0</v>
      </c>
      <c r="T140" s="177">
        <v>0</v>
      </c>
      <c r="U140" s="177">
        <v>0</v>
      </c>
      <c r="V140" s="177">
        <v>0</v>
      </c>
      <c r="W140" s="159"/>
    </row>
    <row r="141" spans="1:23" x14ac:dyDescent="0.45">
      <c r="A141" s="157" t="s">
        <v>366</v>
      </c>
      <c r="B141" s="157" t="s">
        <v>367</v>
      </c>
      <c r="C141" s="175">
        <v>139</v>
      </c>
      <c r="D141" s="176"/>
      <c r="E141" s="157">
        <v>1</v>
      </c>
      <c r="F141" s="157">
        <v>1</v>
      </c>
      <c r="G141" s="157">
        <v>1</v>
      </c>
      <c r="H141" s="157">
        <v>2</v>
      </c>
      <c r="I141" s="177">
        <v>0</v>
      </c>
      <c r="J141" s="157">
        <v>0</v>
      </c>
      <c r="K141" s="157">
        <v>0</v>
      </c>
      <c r="L141" s="177">
        <v>0</v>
      </c>
      <c r="M141" s="177">
        <v>0</v>
      </c>
      <c r="N141" s="157"/>
      <c r="O141" s="177">
        <v>0</v>
      </c>
      <c r="P141" s="177">
        <v>0</v>
      </c>
      <c r="Q141" s="177">
        <v>0</v>
      </c>
      <c r="R141" s="177">
        <v>0</v>
      </c>
      <c r="S141" s="177">
        <v>0</v>
      </c>
      <c r="T141" s="177">
        <v>0</v>
      </c>
      <c r="U141" s="177">
        <v>0</v>
      </c>
      <c r="V141" s="177">
        <v>0</v>
      </c>
      <c r="W141" s="159"/>
    </row>
    <row r="142" spans="1:23" x14ac:dyDescent="0.45">
      <c r="A142" s="157" t="s">
        <v>215</v>
      </c>
      <c r="B142" s="157" t="s">
        <v>368</v>
      </c>
      <c r="C142" s="175">
        <v>140</v>
      </c>
      <c r="D142" s="176"/>
      <c r="E142" s="157">
        <v>1</v>
      </c>
      <c r="F142" s="157">
        <v>1</v>
      </c>
      <c r="G142" s="157">
        <v>1</v>
      </c>
      <c r="H142" s="157">
        <v>2</v>
      </c>
      <c r="I142" s="177">
        <v>1</v>
      </c>
      <c r="J142" s="157">
        <v>1</v>
      </c>
      <c r="K142" s="157">
        <v>0</v>
      </c>
      <c r="L142" s="177">
        <v>0</v>
      </c>
      <c r="M142" s="177">
        <v>0</v>
      </c>
      <c r="N142" s="157"/>
      <c r="O142" s="177">
        <v>0</v>
      </c>
      <c r="P142" s="177">
        <v>0</v>
      </c>
      <c r="Q142" s="177">
        <v>0</v>
      </c>
      <c r="R142" s="177">
        <v>0</v>
      </c>
      <c r="S142" s="177">
        <v>0</v>
      </c>
      <c r="T142" s="177">
        <v>0</v>
      </c>
      <c r="U142" s="177">
        <v>0</v>
      </c>
      <c r="V142" s="177">
        <v>0</v>
      </c>
      <c r="W142" s="159"/>
    </row>
    <row r="143" spans="1:23" x14ac:dyDescent="0.45">
      <c r="A143" s="157" t="s">
        <v>369</v>
      </c>
      <c r="B143" s="157" t="s">
        <v>370</v>
      </c>
      <c r="C143" s="175">
        <v>141</v>
      </c>
      <c r="D143" s="176"/>
      <c r="E143" s="157">
        <v>1</v>
      </c>
      <c r="F143" s="157">
        <v>1</v>
      </c>
      <c r="G143" s="157">
        <v>1</v>
      </c>
      <c r="H143" s="157">
        <v>4</v>
      </c>
      <c r="I143" s="177">
        <v>0</v>
      </c>
      <c r="J143" s="157">
        <v>1</v>
      </c>
      <c r="K143" s="157">
        <v>0</v>
      </c>
      <c r="L143" s="177">
        <v>0</v>
      </c>
      <c r="M143" s="177">
        <v>0</v>
      </c>
      <c r="N143" s="157"/>
      <c r="O143" s="177">
        <v>0</v>
      </c>
      <c r="P143" s="177">
        <v>0</v>
      </c>
      <c r="Q143" s="177">
        <v>0</v>
      </c>
      <c r="R143" s="177">
        <v>0</v>
      </c>
      <c r="S143" s="177">
        <v>0</v>
      </c>
      <c r="T143" s="177">
        <v>0</v>
      </c>
      <c r="U143" s="177">
        <v>1</v>
      </c>
      <c r="V143" s="177">
        <v>0</v>
      </c>
      <c r="W143" s="159"/>
    </row>
    <row r="144" spans="1:23" x14ac:dyDescent="0.45">
      <c r="A144" s="157" t="s">
        <v>371</v>
      </c>
      <c r="B144" s="157" t="s">
        <v>372</v>
      </c>
      <c r="C144" s="175">
        <v>142</v>
      </c>
      <c r="D144" s="176"/>
      <c r="E144" s="157">
        <v>1</v>
      </c>
      <c r="F144" s="157">
        <v>1</v>
      </c>
      <c r="G144" s="157">
        <v>1</v>
      </c>
      <c r="H144" s="157">
        <v>3</v>
      </c>
      <c r="I144" s="177">
        <v>0</v>
      </c>
      <c r="J144" s="157">
        <v>1</v>
      </c>
      <c r="K144" s="157">
        <v>0</v>
      </c>
      <c r="L144" s="177">
        <v>0</v>
      </c>
      <c r="M144" s="177">
        <v>0</v>
      </c>
      <c r="N144" s="157"/>
      <c r="O144" s="177">
        <v>0</v>
      </c>
      <c r="P144" s="177">
        <v>0</v>
      </c>
      <c r="Q144" s="177">
        <v>0</v>
      </c>
      <c r="R144" s="177">
        <v>0</v>
      </c>
      <c r="S144" s="177">
        <v>0</v>
      </c>
      <c r="T144" s="177">
        <v>0</v>
      </c>
      <c r="U144" s="177">
        <v>0</v>
      </c>
      <c r="V144" s="177">
        <v>0</v>
      </c>
      <c r="W144" s="159"/>
    </row>
    <row r="145" spans="1:23" x14ac:dyDescent="0.45">
      <c r="A145" s="157" t="s">
        <v>373</v>
      </c>
      <c r="B145" s="157" t="s">
        <v>374</v>
      </c>
      <c r="C145" s="175">
        <v>143</v>
      </c>
      <c r="D145" s="176"/>
      <c r="E145" s="157">
        <v>1</v>
      </c>
      <c r="F145" s="157">
        <v>1</v>
      </c>
      <c r="G145" s="157">
        <v>1</v>
      </c>
      <c r="H145" s="157">
        <v>3</v>
      </c>
      <c r="I145" s="177">
        <v>0</v>
      </c>
      <c r="J145" s="157">
        <v>0</v>
      </c>
      <c r="K145" s="157">
        <v>0</v>
      </c>
      <c r="L145" s="177">
        <v>0</v>
      </c>
      <c r="M145" s="177">
        <v>0</v>
      </c>
      <c r="N145" s="157"/>
      <c r="O145" s="177">
        <v>0</v>
      </c>
      <c r="P145" s="177">
        <v>0</v>
      </c>
      <c r="Q145" s="177">
        <v>0</v>
      </c>
      <c r="R145" s="177">
        <v>0</v>
      </c>
      <c r="S145" s="177">
        <v>0</v>
      </c>
      <c r="T145" s="177">
        <v>0</v>
      </c>
      <c r="U145" s="177">
        <v>0</v>
      </c>
      <c r="V145" s="177">
        <v>0</v>
      </c>
      <c r="W145" s="159"/>
    </row>
    <row r="146" spans="1:23" x14ac:dyDescent="0.45">
      <c r="A146" s="157" t="s">
        <v>375</v>
      </c>
      <c r="B146" s="157" t="s">
        <v>376</v>
      </c>
      <c r="C146" s="175">
        <v>144</v>
      </c>
      <c r="D146" s="176"/>
      <c r="E146" s="157">
        <v>1</v>
      </c>
      <c r="F146" s="157">
        <v>0</v>
      </c>
      <c r="G146" s="157">
        <v>1</v>
      </c>
      <c r="H146" s="157">
        <v>3</v>
      </c>
      <c r="I146" s="177">
        <v>0</v>
      </c>
      <c r="J146" s="157">
        <v>1</v>
      </c>
      <c r="K146" s="157">
        <v>0</v>
      </c>
      <c r="L146" s="177">
        <v>0</v>
      </c>
      <c r="M146" s="177">
        <v>0</v>
      </c>
      <c r="N146" s="157"/>
      <c r="O146" s="177">
        <v>0</v>
      </c>
      <c r="P146" s="177">
        <v>0</v>
      </c>
      <c r="Q146" s="177">
        <v>0</v>
      </c>
      <c r="R146" s="177">
        <v>0</v>
      </c>
      <c r="S146" s="177">
        <v>0</v>
      </c>
      <c r="T146" s="177">
        <v>0</v>
      </c>
      <c r="U146" s="177">
        <v>1</v>
      </c>
      <c r="V146" s="177">
        <v>0</v>
      </c>
      <c r="W146" s="159"/>
    </row>
    <row r="147" spans="1:23" x14ac:dyDescent="0.45">
      <c r="A147" s="157" t="s">
        <v>377</v>
      </c>
      <c r="B147" s="157" t="s">
        <v>123</v>
      </c>
      <c r="C147" s="175">
        <v>145</v>
      </c>
      <c r="D147" s="176"/>
      <c r="E147" s="157">
        <v>1</v>
      </c>
      <c r="F147" s="157">
        <v>0</v>
      </c>
      <c r="G147" s="157">
        <v>1</v>
      </c>
      <c r="H147" s="157">
        <v>2</v>
      </c>
      <c r="I147" s="177">
        <v>0</v>
      </c>
      <c r="J147" s="157">
        <v>0</v>
      </c>
      <c r="K147" s="157">
        <v>0</v>
      </c>
      <c r="L147" s="177">
        <v>0</v>
      </c>
      <c r="M147" s="177">
        <v>0</v>
      </c>
      <c r="N147" s="157"/>
      <c r="O147" s="177">
        <v>0</v>
      </c>
      <c r="P147" s="177">
        <v>0</v>
      </c>
      <c r="Q147" s="177">
        <v>0</v>
      </c>
      <c r="R147" s="177">
        <v>0</v>
      </c>
      <c r="S147" s="177">
        <v>0</v>
      </c>
      <c r="T147" s="177">
        <v>0</v>
      </c>
      <c r="U147" s="177">
        <v>0</v>
      </c>
      <c r="V147" s="177">
        <v>0</v>
      </c>
      <c r="W147" s="159"/>
    </row>
    <row r="148" spans="1:23" x14ac:dyDescent="0.45">
      <c r="A148" s="157" t="s">
        <v>378</v>
      </c>
      <c r="B148" s="157" t="s">
        <v>379</v>
      </c>
      <c r="C148" s="175">
        <v>146</v>
      </c>
      <c r="D148" s="176"/>
      <c r="E148" s="157">
        <v>1</v>
      </c>
      <c r="F148" s="157">
        <v>1</v>
      </c>
      <c r="G148" s="157">
        <v>1</v>
      </c>
      <c r="H148" s="157">
        <v>2</v>
      </c>
      <c r="I148" s="177">
        <v>1</v>
      </c>
      <c r="J148" s="157">
        <v>0</v>
      </c>
      <c r="K148" s="157">
        <v>0</v>
      </c>
      <c r="L148" s="177">
        <v>0</v>
      </c>
      <c r="M148" s="177">
        <v>0</v>
      </c>
      <c r="N148" s="157"/>
      <c r="O148" s="177">
        <v>0</v>
      </c>
      <c r="P148" s="177">
        <v>0</v>
      </c>
      <c r="Q148" s="177">
        <v>0</v>
      </c>
      <c r="R148" s="177">
        <v>0</v>
      </c>
      <c r="S148" s="177">
        <v>0</v>
      </c>
      <c r="T148" s="177">
        <v>0</v>
      </c>
      <c r="U148" s="177">
        <v>0</v>
      </c>
      <c r="V148" s="177">
        <v>0</v>
      </c>
      <c r="W148" s="159"/>
    </row>
    <row r="149" spans="1:23" x14ac:dyDescent="0.45">
      <c r="A149" s="157" t="s">
        <v>215</v>
      </c>
      <c r="B149" s="157" t="s">
        <v>380</v>
      </c>
      <c r="C149" s="175">
        <v>147</v>
      </c>
      <c r="D149" s="176"/>
      <c r="E149" s="157">
        <v>1</v>
      </c>
      <c r="F149" s="157">
        <v>1</v>
      </c>
      <c r="G149" s="157">
        <v>1</v>
      </c>
      <c r="H149" s="157">
        <v>1</v>
      </c>
      <c r="I149" s="177">
        <v>1</v>
      </c>
      <c r="J149" s="157">
        <v>1</v>
      </c>
      <c r="K149" s="157">
        <v>0</v>
      </c>
      <c r="L149" s="177">
        <v>0</v>
      </c>
      <c r="M149" s="177">
        <v>0</v>
      </c>
      <c r="N149" s="157"/>
      <c r="O149" s="177">
        <v>0</v>
      </c>
      <c r="P149" s="177">
        <v>0</v>
      </c>
      <c r="Q149" s="177">
        <v>0</v>
      </c>
      <c r="R149" s="177">
        <v>0</v>
      </c>
      <c r="S149" s="177">
        <v>0</v>
      </c>
      <c r="T149" s="177">
        <v>1</v>
      </c>
      <c r="U149" s="177">
        <v>0</v>
      </c>
      <c r="V149" s="177">
        <v>0</v>
      </c>
      <c r="W149" s="159"/>
    </row>
    <row r="150" spans="1:23" x14ac:dyDescent="0.45">
      <c r="A150" s="157" t="s">
        <v>337</v>
      </c>
      <c r="B150" s="157" t="s">
        <v>381</v>
      </c>
      <c r="C150" s="175">
        <v>148</v>
      </c>
      <c r="D150" s="176"/>
      <c r="E150" s="157">
        <v>0</v>
      </c>
      <c r="F150" s="157">
        <v>1</v>
      </c>
      <c r="G150" s="157">
        <v>1</v>
      </c>
      <c r="H150" s="157">
        <v>2</v>
      </c>
      <c r="I150" s="177">
        <v>0</v>
      </c>
      <c r="J150" s="157">
        <v>0</v>
      </c>
      <c r="K150" s="157">
        <v>0</v>
      </c>
      <c r="L150" s="177">
        <v>0</v>
      </c>
      <c r="M150" s="177">
        <v>0</v>
      </c>
      <c r="N150" s="157"/>
      <c r="O150" s="177">
        <v>0</v>
      </c>
      <c r="P150" s="177">
        <v>0</v>
      </c>
      <c r="Q150" s="177">
        <v>0</v>
      </c>
      <c r="R150" s="177">
        <v>0</v>
      </c>
      <c r="S150" s="177">
        <v>0</v>
      </c>
      <c r="T150" s="177">
        <v>0</v>
      </c>
      <c r="U150" s="177">
        <v>0</v>
      </c>
      <c r="V150" s="177">
        <v>0</v>
      </c>
      <c r="W150" s="159"/>
    </row>
    <row r="151" spans="1:23" x14ac:dyDescent="0.45">
      <c r="A151" s="157" t="s">
        <v>163</v>
      </c>
      <c r="B151" s="157" t="s">
        <v>382</v>
      </c>
      <c r="C151" s="175">
        <v>149</v>
      </c>
      <c r="D151" s="176"/>
      <c r="E151" s="157">
        <v>1</v>
      </c>
      <c r="F151" s="157">
        <v>0</v>
      </c>
      <c r="G151" s="157">
        <v>1</v>
      </c>
      <c r="H151" s="157">
        <v>4</v>
      </c>
      <c r="I151" s="177">
        <v>0</v>
      </c>
      <c r="J151" s="157">
        <v>1</v>
      </c>
      <c r="K151" s="157">
        <v>0</v>
      </c>
      <c r="L151" s="177">
        <v>0</v>
      </c>
      <c r="M151" s="177">
        <v>0</v>
      </c>
      <c r="N151" s="157"/>
      <c r="O151" s="177">
        <v>0</v>
      </c>
      <c r="P151" s="177">
        <v>0</v>
      </c>
      <c r="Q151" s="177">
        <v>0</v>
      </c>
      <c r="R151" s="177">
        <v>0</v>
      </c>
      <c r="S151" s="177">
        <v>0</v>
      </c>
      <c r="T151" s="177">
        <v>0</v>
      </c>
      <c r="U151" s="177">
        <v>1</v>
      </c>
      <c r="V151" s="177">
        <v>0</v>
      </c>
      <c r="W151" s="159"/>
    </row>
    <row r="152" spans="1:23" x14ac:dyDescent="0.45">
      <c r="A152" s="157" t="s">
        <v>383</v>
      </c>
      <c r="B152" s="157" t="s">
        <v>384</v>
      </c>
      <c r="C152" s="175">
        <v>150</v>
      </c>
      <c r="D152" s="176"/>
      <c r="E152" s="157">
        <v>0</v>
      </c>
      <c r="F152" s="157">
        <v>1</v>
      </c>
      <c r="G152" s="157">
        <v>3</v>
      </c>
      <c r="H152" s="157">
        <v>3</v>
      </c>
      <c r="I152" s="177">
        <v>0</v>
      </c>
      <c r="J152" s="157">
        <v>0</v>
      </c>
      <c r="K152" s="157">
        <v>0</v>
      </c>
      <c r="L152" s="177">
        <v>0</v>
      </c>
      <c r="M152" s="177">
        <v>0</v>
      </c>
      <c r="N152" s="157"/>
      <c r="O152" s="177">
        <v>0</v>
      </c>
      <c r="P152" s="177">
        <v>0</v>
      </c>
      <c r="Q152" s="177">
        <v>0</v>
      </c>
      <c r="R152" s="177">
        <v>0</v>
      </c>
      <c r="S152" s="177">
        <v>0</v>
      </c>
      <c r="T152" s="177">
        <v>0</v>
      </c>
      <c r="U152" s="177">
        <v>1</v>
      </c>
      <c r="V152" s="177">
        <v>0</v>
      </c>
      <c r="W152" s="159"/>
    </row>
    <row r="153" spans="1:23" x14ac:dyDescent="0.45">
      <c r="A153" s="157" t="s">
        <v>393</v>
      </c>
      <c r="B153" s="157" t="s">
        <v>394</v>
      </c>
      <c r="C153" s="175">
        <v>151</v>
      </c>
      <c r="D153" s="176"/>
      <c r="E153" s="174">
        <v>0</v>
      </c>
      <c r="F153" s="174">
        <v>1</v>
      </c>
      <c r="G153" s="157">
        <v>1</v>
      </c>
      <c r="H153" s="157">
        <v>3</v>
      </c>
      <c r="I153" s="177">
        <v>0</v>
      </c>
      <c r="J153" s="157">
        <v>1</v>
      </c>
      <c r="K153" s="157">
        <v>0</v>
      </c>
      <c r="L153" s="177">
        <v>0</v>
      </c>
      <c r="M153" s="177">
        <v>0</v>
      </c>
      <c r="N153" s="157"/>
      <c r="O153" s="177">
        <v>0</v>
      </c>
      <c r="P153" s="177">
        <v>0</v>
      </c>
      <c r="Q153" s="177">
        <v>1</v>
      </c>
      <c r="R153" s="177">
        <v>0</v>
      </c>
      <c r="S153" s="177">
        <v>0</v>
      </c>
      <c r="T153" s="177">
        <v>0</v>
      </c>
      <c r="U153" s="177">
        <v>0</v>
      </c>
      <c r="V153" s="177">
        <v>0</v>
      </c>
      <c r="W153" s="159"/>
    </row>
    <row r="154" spans="1:23" x14ac:dyDescent="0.45">
      <c r="A154" s="162"/>
      <c r="B154" s="162"/>
      <c r="C154" s="77">
        <v>152</v>
      </c>
      <c r="D154" s="38"/>
      <c r="E154" s="163"/>
      <c r="F154" s="164"/>
      <c r="G154" s="132"/>
      <c r="H154" s="79"/>
      <c r="I154" s="79"/>
      <c r="J154" s="79"/>
      <c r="K154" s="79"/>
      <c r="L154" s="165"/>
      <c r="M154" s="132"/>
      <c r="N154" s="5"/>
      <c r="O154" s="165"/>
      <c r="P154" s="165"/>
      <c r="Q154" s="165"/>
      <c r="R154" s="165"/>
      <c r="S154" s="165"/>
      <c r="T154" s="165"/>
      <c r="U154" s="165"/>
      <c r="V154" s="165"/>
      <c r="W154" s="5"/>
    </row>
    <row r="155" spans="1:23" x14ac:dyDescent="0.45">
      <c r="A155" s="157"/>
      <c r="B155" s="157"/>
      <c r="C155" s="77">
        <v>153</v>
      </c>
      <c r="D155" s="38"/>
      <c r="E155" s="10"/>
      <c r="F155" s="82"/>
      <c r="G155" s="11"/>
      <c r="H155" s="4"/>
      <c r="I155" s="79"/>
      <c r="J155" s="4"/>
      <c r="K155" s="4"/>
      <c r="L155" s="114"/>
      <c r="M155" s="11"/>
      <c r="N155" s="5"/>
      <c r="O155" s="114"/>
      <c r="P155" s="114"/>
      <c r="Q155" s="114"/>
      <c r="R155" s="114"/>
      <c r="S155" s="114"/>
      <c r="T155" s="114"/>
      <c r="U155" s="114"/>
      <c r="V155" s="114"/>
      <c r="W155" s="5"/>
    </row>
    <row r="156" spans="1:23" x14ac:dyDescent="0.45">
      <c r="A156" s="157"/>
      <c r="B156" s="157"/>
      <c r="C156" s="77">
        <v>154</v>
      </c>
      <c r="D156" s="38"/>
      <c r="E156" s="10"/>
      <c r="F156" s="82"/>
      <c r="G156" s="11"/>
      <c r="H156" s="4"/>
      <c r="I156" s="79"/>
      <c r="J156" s="4"/>
      <c r="K156" s="4"/>
      <c r="L156" s="114"/>
      <c r="M156" s="11"/>
      <c r="N156" s="5"/>
      <c r="O156" s="114"/>
      <c r="P156" s="114"/>
      <c r="Q156" s="114"/>
      <c r="R156" s="114"/>
      <c r="S156" s="114"/>
      <c r="T156" s="114"/>
      <c r="U156" s="114"/>
      <c r="V156" s="114"/>
      <c r="W156" s="5"/>
    </row>
    <row r="157" spans="1:23" x14ac:dyDescent="0.45">
      <c r="A157" s="157"/>
      <c r="B157" s="157"/>
      <c r="C157" s="77">
        <v>155</v>
      </c>
      <c r="D157" s="38"/>
      <c r="E157" s="10"/>
      <c r="F157" s="82"/>
      <c r="G157" s="11"/>
      <c r="H157" s="4"/>
      <c r="I157" s="79"/>
      <c r="J157" s="4"/>
      <c r="K157" s="4"/>
      <c r="L157" s="114"/>
      <c r="M157" s="11"/>
      <c r="N157" s="5"/>
      <c r="O157" s="3"/>
      <c r="P157" s="3"/>
      <c r="Q157" s="3"/>
      <c r="R157" s="3"/>
      <c r="S157" s="3"/>
      <c r="T157" s="3"/>
      <c r="U157" s="3"/>
      <c r="V157" s="4"/>
      <c r="W157" s="5"/>
    </row>
    <row r="158" spans="1:23" x14ac:dyDescent="0.45">
      <c r="A158" s="157"/>
      <c r="B158" s="157"/>
      <c r="C158" s="77">
        <v>156</v>
      </c>
      <c r="D158" s="38"/>
      <c r="E158" s="10"/>
      <c r="F158" s="82"/>
      <c r="G158" s="11"/>
      <c r="H158" s="4"/>
      <c r="I158" s="79"/>
      <c r="J158" s="4"/>
      <c r="K158" s="4"/>
      <c r="L158" s="114"/>
      <c r="M158" s="11"/>
      <c r="N158" s="5"/>
      <c r="O158" s="3"/>
      <c r="P158" s="3"/>
      <c r="Q158" s="3"/>
      <c r="R158" s="3"/>
      <c r="S158" s="3"/>
      <c r="T158" s="3"/>
      <c r="U158" s="3"/>
      <c r="V158" s="4"/>
      <c r="W158" s="5"/>
    </row>
    <row r="159" spans="1:23" x14ac:dyDescent="0.45">
      <c r="A159" s="157"/>
      <c r="B159" s="157"/>
      <c r="C159" s="77">
        <v>157</v>
      </c>
      <c r="D159" s="38"/>
      <c r="E159" s="10"/>
      <c r="F159" s="82"/>
      <c r="G159" s="11"/>
      <c r="H159" s="4"/>
      <c r="I159" s="79"/>
      <c r="J159" s="4"/>
      <c r="K159" s="4"/>
      <c r="L159" s="114"/>
      <c r="M159" s="11"/>
      <c r="N159" s="5"/>
      <c r="O159" s="3"/>
      <c r="P159" s="3"/>
      <c r="Q159" s="3"/>
      <c r="R159" s="3"/>
      <c r="S159" s="3"/>
      <c r="T159" s="3"/>
      <c r="U159" s="3"/>
      <c r="V159" s="4"/>
      <c r="W159" s="5"/>
    </row>
    <row r="160" spans="1:23" x14ac:dyDescent="0.45">
      <c r="A160" s="157"/>
      <c r="B160" s="157"/>
      <c r="C160" s="77">
        <v>158</v>
      </c>
      <c r="D160" s="38"/>
      <c r="E160" s="10"/>
      <c r="F160" s="82"/>
      <c r="G160" s="11"/>
      <c r="H160" s="4"/>
      <c r="I160" s="79"/>
      <c r="J160" s="4"/>
      <c r="K160" s="4"/>
      <c r="L160" s="114"/>
      <c r="M160" s="11"/>
      <c r="N160" s="5"/>
      <c r="O160" s="3"/>
      <c r="P160" s="3"/>
      <c r="Q160" s="3"/>
      <c r="R160" s="3"/>
      <c r="S160" s="3"/>
      <c r="T160" s="3"/>
      <c r="U160" s="3"/>
      <c r="V160" s="4"/>
      <c r="W160" s="5"/>
    </row>
    <row r="161" spans="1:23" x14ac:dyDescent="0.45">
      <c r="A161" s="157"/>
      <c r="B161" s="157"/>
      <c r="C161" s="77">
        <v>159</v>
      </c>
      <c r="D161" s="38"/>
      <c r="E161" s="10"/>
      <c r="F161" s="82"/>
      <c r="G161" s="11"/>
      <c r="H161" s="4"/>
      <c r="I161" s="79"/>
      <c r="J161" s="4"/>
      <c r="K161" s="4"/>
      <c r="L161" s="114"/>
      <c r="M161" s="11"/>
      <c r="N161" s="5"/>
      <c r="O161" s="3"/>
      <c r="P161" s="3"/>
      <c r="Q161" s="3"/>
      <c r="R161" s="3"/>
      <c r="S161" s="3"/>
      <c r="T161" s="3"/>
      <c r="U161" s="3"/>
      <c r="V161" s="4"/>
      <c r="W161" s="5"/>
    </row>
    <row r="162" spans="1:23" x14ac:dyDescent="0.45">
      <c r="A162" s="157"/>
      <c r="B162" s="157"/>
      <c r="C162" s="77">
        <v>160</v>
      </c>
      <c r="D162" s="38"/>
      <c r="E162" s="10"/>
      <c r="F162" s="82"/>
      <c r="G162" s="11"/>
      <c r="H162" s="4"/>
      <c r="I162" s="79"/>
      <c r="J162" s="4"/>
      <c r="K162" s="4"/>
      <c r="L162" s="114"/>
      <c r="M162" s="11"/>
      <c r="N162" s="5"/>
      <c r="O162" s="3"/>
      <c r="P162" s="3"/>
      <c r="Q162" s="3"/>
      <c r="R162" s="3"/>
      <c r="S162" s="3"/>
      <c r="T162" s="3"/>
      <c r="U162" s="3"/>
      <c r="V162" s="4"/>
      <c r="W162" s="5"/>
    </row>
    <row r="163" spans="1:23" x14ac:dyDescent="0.45">
      <c r="A163" s="157"/>
      <c r="B163" s="157"/>
      <c r="C163" s="77">
        <v>161</v>
      </c>
      <c r="D163" s="38"/>
      <c r="E163" s="10"/>
      <c r="F163" s="82"/>
      <c r="G163" s="11"/>
      <c r="H163" s="4"/>
      <c r="I163" s="79"/>
      <c r="J163" s="4"/>
      <c r="K163" s="4"/>
      <c r="L163" s="114"/>
      <c r="M163" s="11"/>
      <c r="N163" s="5"/>
      <c r="O163" s="3"/>
      <c r="P163" s="3"/>
      <c r="Q163" s="3"/>
      <c r="R163" s="3"/>
      <c r="S163" s="3"/>
      <c r="T163" s="3"/>
      <c r="U163" s="3"/>
      <c r="V163" s="4"/>
      <c r="W163" s="5"/>
    </row>
    <row r="164" spans="1:23" x14ac:dyDescent="0.45">
      <c r="A164" s="157"/>
      <c r="B164" s="157"/>
      <c r="C164" s="77">
        <v>162</v>
      </c>
      <c r="D164" s="38"/>
      <c r="E164" s="10"/>
      <c r="F164" s="82"/>
      <c r="G164" s="11"/>
      <c r="H164" s="4"/>
      <c r="I164" s="79"/>
      <c r="J164" s="4"/>
      <c r="K164" s="4"/>
      <c r="L164" s="114"/>
      <c r="M164" s="11"/>
      <c r="N164" s="5"/>
      <c r="O164" s="3"/>
      <c r="P164" s="3"/>
      <c r="Q164" s="3"/>
      <c r="R164" s="3"/>
      <c r="S164" s="3"/>
      <c r="T164" s="3"/>
      <c r="U164" s="3"/>
      <c r="V164" s="4"/>
      <c r="W164" s="5"/>
    </row>
    <row r="165" spans="1:23" x14ac:dyDescent="0.45">
      <c r="A165" s="157"/>
      <c r="B165" s="157"/>
      <c r="C165" s="77">
        <v>163</v>
      </c>
      <c r="D165" s="38"/>
      <c r="E165" s="10"/>
      <c r="F165" s="82"/>
      <c r="G165" s="11"/>
      <c r="H165" s="4"/>
      <c r="I165" s="79"/>
      <c r="J165" s="4"/>
      <c r="K165" s="4"/>
      <c r="L165" s="114"/>
      <c r="M165" s="11"/>
      <c r="N165" s="5"/>
      <c r="O165" s="3"/>
      <c r="P165" s="3"/>
      <c r="Q165" s="3"/>
      <c r="R165" s="3"/>
      <c r="S165" s="3"/>
      <c r="T165" s="3"/>
      <c r="U165" s="3"/>
      <c r="V165" s="4"/>
      <c r="W165" s="5"/>
    </row>
    <row r="166" spans="1:23" x14ac:dyDescent="0.45">
      <c r="A166" s="157"/>
      <c r="B166" s="157"/>
      <c r="C166" s="77">
        <v>164</v>
      </c>
      <c r="D166" s="38"/>
      <c r="E166" s="10"/>
      <c r="F166" s="82"/>
      <c r="G166" s="11"/>
      <c r="H166" s="4"/>
      <c r="I166" s="79"/>
      <c r="J166" s="4"/>
      <c r="K166" s="4"/>
      <c r="L166" s="114"/>
      <c r="M166" s="11"/>
      <c r="N166" s="5"/>
      <c r="O166" s="3"/>
      <c r="P166" s="3"/>
      <c r="Q166" s="3"/>
      <c r="R166" s="3"/>
      <c r="S166" s="3"/>
      <c r="T166" s="3"/>
      <c r="U166" s="3"/>
      <c r="V166" s="4"/>
      <c r="W166" s="5"/>
    </row>
    <row r="167" spans="1:23" x14ac:dyDescent="0.45">
      <c r="A167" s="157"/>
      <c r="B167" s="157"/>
      <c r="C167" s="77">
        <v>165</v>
      </c>
      <c r="D167" s="38"/>
      <c r="E167" s="10"/>
      <c r="F167" s="82"/>
      <c r="G167" s="11"/>
      <c r="H167" s="4"/>
      <c r="I167" s="79"/>
      <c r="J167" s="4"/>
      <c r="K167" s="4"/>
      <c r="L167" s="114"/>
      <c r="M167" s="11"/>
      <c r="N167" s="5"/>
      <c r="O167" s="3"/>
      <c r="P167" s="3"/>
      <c r="Q167" s="3"/>
      <c r="R167" s="3"/>
      <c r="S167" s="3"/>
      <c r="T167" s="3"/>
      <c r="U167" s="3"/>
      <c r="V167" s="4"/>
      <c r="W167" s="5"/>
    </row>
    <row r="168" spans="1:23" x14ac:dyDescent="0.45">
      <c r="A168" s="157"/>
      <c r="B168" s="157"/>
      <c r="C168" s="77">
        <v>166</v>
      </c>
      <c r="D168" s="38"/>
      <c r="E168" s="10"/>
      <c r="F168" s="82"/>
      <c r="G168" s="11"/>
      <c r="H168" s="4"/>
      <c r="I168" s="79"/>
      <c r="J168" s="4"/>
      <c r="K168" s="4"/>
      <c r="L168" s="114"/>
      <c r="M168" s="11"/>
      <c r="N168" s="5"/>
      <c r="O168" s="3"/>
      <c r="P168" s="3"/>
      <c r="Q168" s="3"/>
      <c r="R168" s="3"/>
      <c r="S168" s="3"/>
      <c r="T168" s="3"/>
      <c r="U168" s="3"/>
      <c r="V168" s="4"/>
      <c r="W168" s="5"/>
    </row>
    <row r="169" spans="1:23" x14ac:dyDescent="0.45">
      <c r="A169" s="157"/>
      <c r="B169" s="157"/>
      <c r="C169" s="77">
        <v>167</v>
      </c>
      <c r="D169" s="38"/>
      <c r="E169" s="10"/>
      <c r="F169" s="82"/>
      <c r="G169" s="11"/>
      <c r="H169" s="4"/>
      <c r="I169" s="79"/>
      <c r="J169" s="4"/>
      <c r="K169" s="4"/>
      <c r="L169" s="114"/>
      <c r="M169" s="11"/>
      <c r="N169" s="5"/>
      <c r="O169" s="3"/>
      <c r="P169" s="3"/>
      <c r="Q169" s="3"/>
      <c r="R169" s="3"/>
      <c r="S169" s="3"/>
      <c r="T169" s="3"/>
      <c r="U169" s="3"/>
      <c r="V169" s="4"/>
      <c r="W169" s="5"/>
    </row>
    <row r="170" spans="1:23" x14ac:dyDescent="0.45">
      <c r="A170" s="157"/>
      <c r="B170" s="157"/>
      <c r="C170" s="77">
        <v>168</v>
      </c>
      <c r="D170" s="38"/>
      <c r="E170" s="10"/>
      <c r="F170" s="82"/>
      <c r="G170" s="11"/>
      <c r="H170" s="4"/>
      <c r="I170" s="79"/>
      <c r="J170" s="4"/>
      <c r="K170" s="4"/>
      <c r="L170" s="114"/>
      <c r="M170" s="11"/>
      <c r="N170" s="5"/>
      <c r="O170" s="3"/>
      <c r="P170" s="3"/>
      <c r="Q170" s="3"/>
      <c r="R170" s="3"/>
      <c r="S170" s="3"/>
      <c r="T170" s="3"/>
      <c r="U170" s="3"/>
      <c r="V170" s="4"/>
      <c r="W170" s="5"/>
    </row>
    <row r="171" spans="1:23" x14ac:dyDescent="0.45">
      <c r="A171" s="157"/>
      <c r="B171" s="157"/>
      <c r="C171" s="77">
        <v>169</v>
      </c>
      <c r="D171" s="38"/>
      <c r="E171" s="10"/>
      <c r="F171" s="82"/>
      <c r="G171" s="11"/>
      <c r="H171" s="4"/>
      <c r="I171" s="79"/>
      <c r="J171" s="4"/>
      <c r="K171" s="4"/>
      <c r="L171" s="114"/>
      <c r="M171" s="11"/>
      <c r="N171" s="5"/>
      <c r="O171" s="3"/>
      <c r="P171" s="3"/>
      <c r="Q171" s="3"/>
      <c r="R171" s="3"/>
      <c r="S171" s="3"/>
      <c r="T171" s="3"/>
      <c r="U171" s="3"/>
      <c r="V171" s="4"/>
      <c r="W171" s="5"/>
    </row>
    <row r="172" spans="1:23" x14ac:dyDescent="0.45">
      <c r="A172" s="157"/>
      <c r="B172" s="157"/>
      <c r="C172" s="77">
        <v>170</v>
      </c>
      <c r="D172" s="38"/>
      <c r="E172" s="10"/>
      <c r="F172" s="82"/>
      <c r="G172" s="11"/>
      <c r="H172" s="4"/>
      <c r="I172" s="79"/>
      <c r="J172" s="4"/>
      <c r="K172" s="4"/>
      <c r="L172" s="114"/>
      <c r="M172" s="11"/>
      <c r="N172" s="5"/>
      <c r="O172" s="3"/>
      <c r="P172" s="3"/>
      <c r="Q172" s="3"/>
      <c r="R172" s="3"/>
      <c r="S172" s="3"/>
      <c r="T172" s="3"/>
      <c r="U172" s="3"/>
      <c r="V172" s="4"/>
      <c r="W172" s="5"/>
    </row>
    <row r="173" spans="1:23" x14ac:dyDescent="0.45">
      <c r="A173" s="157"/>
      <c r="B173" s="157"/>
      <c r="C173" s="77">
        <v>171</v>
      </c>
      <c r="D173" s="38"/>
      <c r="E173" s="10"/>
      <c r="F173" s="82"/>
      <c r="G173" s="11"/>
      <c r="H173" s="4"/>
      <c r="I173" s="79"/>
      <c r="J173" s="4"/>
      <c r="K173" s="4"/>
      <c r="L173" s="114"/>
      <c r="M173" s="11"/>
      <c r="N173" s="5"/>
      <c r="O173" s="3"/>
      <c r="P173" s="3"/>
      <c r="Q173" s="3"/>
      <c r="R173" s="3"/>
      <c r="S173" s="3"/>
      <c r="T173" s="3"/>
      <c r="U173" s="3"/>
      <c r="V173" s="4"/>
      <c r="W173" s="5"/>
    </row>
    <row r="174" spans="1:23" x14ac:dyDescent="0.45">
      <c r="A174" s="157"/>
      <c r="B174" s="157"/>
      <c r="C174" s="77">
        <v>172</v>
      </c>
      <c r="D174" s="38"/>
      <c r="E174" s="10"/>
      <c r="F174" s="82"/>
      <c r="G174" s="11"/>
      <c r="H174" s="4"/>
      <c r="I174" s="79"/>
      <c r="J174" s="4"/>
      <c r="K174" s="4"/>
      <c r="L174" s="114"/>
      <c r="M174" s="11"/>
      <c r="N174" s="5"/>
      <c r="O174" s="3"/>
      <c r="P174" s="3"/>
      <c r="Q174" s="3"/>
      <c r="R174" s="3"/>
      <c r="S174" s="3"/>
      <c r="T174" s="3"/>
      <c r="U174" s="3"/>
      <c r="V174" s="4"/>
      <c r="W174" s="5"/>
    </row>
    <row r="175" spans="1:23" x14ac:dyDescent="0.45">
      <c r="A175" s="158"/>
      <c r="B175" s="158"/>
      <c r="C175" s="77">
        <v>173</v>
      </c>
      <c r="D175" s="38"/>
      <c r="E175" s="10"/>
      <c r="F175" s="82"/>
      <c r="G175" s="11"/>
      <c r="H175" s="4"/>
      <c r="I175" s="79"/>
      <c r="J175" s="4"/>
      <c r="K175" s="4"/>
      <c r="L175" s="114"/>
      <c r="M175" s="11"/>
      <c r="N175" s="5"/>
      <c r="O175" s="3"/>
      <c r="P175" s="3"/>
      <c r="Q175" s="3"/>
      <c r="R175" s="3"/>
      <c r="S175" s="3"/>
      <c r="T175" s="3"/>
      <c r="U175" s="3"/>
      <c r="V175" s="4"/>
      <c r="W175" s="5"/>
    </row>
    <row r="176" spans="1:23" x14ac:dyDescent="0.45">
      <c r="A176" s="157"/>
      <c r="B176" s="157"/>
      <c r="C176" s="77">
        <v>174</v>
      </c>
      <c r="D176" s="38"/>
      <c r="E176" s="10"/>
      <c r="F176" s="82"/>
      <c r="G176" s="11"/>
      <c r="H176" s="4"/>
      <c r="I176" s="79"/>
      <c r="J176" s="4"/>
      <c r="K176" s="4"/>
      <c r="L176" s="114"/>
      <c r="M176" s="11"/>
      <c r="N176" s="5"/>
      <c r="O176" s="3"/>
      <c r="P176" s="3"/>
      <c r="Q176" s="3"/>
      <c r="R176" s="3"/>
      <c r="S176" s="3"/>
      <c r="T176" s="3"/>
      <c r="U176" s="3"/>
      <c r="V176" s="4"/>
      <c r="W176" s="5"/>
    </row>
    <row r="177" spans="1:23" x14ac:dyDescent="0.45">
      <c r="A177" s="157"/>
      <c r="B177" s="157"/>
      <c r="C177" s="77">
        <v>175</v>
      </c>
      <c r="D177" s="38"/>
      <c r="E177" s="10"/>
      <c r="F177" s="82"/>
      <c r="G177" s="11"/>
      <c r="H177" s="4"/>
      <c r="I177" s="79"/>
      <c r="J177" s="4"/>
      <c r="K177" s="4"/>
      <c r="L177" s="114"/>
      <c r="M177" s="11"/>
      <c r="N177" s="5"/>
      <c r="O177" s="3"/>
      <c r="P177" s="3"/>
      <c r="Q177" s="3"/>
      <c r="R177" s="3"/>
      <c r="S177" s="3"/>
      <c r="T177" s="3"/>
      <c r="U177" s="3"/>
      <c r="V177" s="4"/>
      <c r="W177" s="5"/>
    </row>
    <row r="178" spans="1:23" x14ac:dyDescent="0.45">
      <c r="A178" s="157"/>
      <c r="B178" s="157"/>
      <c r="C178" s="77">
        <v>176</v>
      </c>
      <c r="D178" s="38"/>
      <c r="E178" s="10"/>
      <c r="F178" s="82"/>
      <c r="G178" s="11"/>
      <c r="H178" s="4"/>
      <c r="I178" s="79"/>
      <c r="J178" s="4"/>
      <c r="K178" s="4"/>
      <c r="L178" s="114"/>
      <c r="M178" s="11"/>
      <c r="N178" s="5"/>
      <c r="O178" s="3"/>
      <c r="P178" s="3"/>
      <c r="Q178" s="3"/>
      <c r="R178" s="3"/>
      <c r="S178" s="3"/>
      <c r="T178" s="3"/>
      <c r="U178" s="3"/>
      <c r="V178" s="4"/>
      <c r="W178" s="5"/>
    </row>
    <row r="179" spans="1:23" x14ac:dyDescent="0.45">
      <c r="A179" s="157"/>
      <c r="B179" s="157"/>
      <c r="C179" s="77">
        <v>177</v>
      </c>
      <c r="D179" s="38"/>
      <c r="E179" s="10"/>
      <c r="F179" s="82"/>
      <c r="G179" s="11"/>
      <c r="H179" s="4"/>
      <c r="I179" s="79"/>
      <c r="J179" s="4"/>
      <c r="K179" s="4"/>
      <c r="L179" s="114"/>
      <c r="M179" s="11"/>
      <c r="N179" s="5"/>
      <c r="O179" s="3"/>
      <c r="P179" s="3"/>
      <c r="Q179" s="3"/>
      <c r="R179" s="3"/>
      <c r="S179" s="3"/>
      <c r="T179" s="3"/>
      <c r="U179" s="3"/>
      <c r="V179" s="4"/>
      <c r="W179" s="5"/>
    </row>
    <row r="180" spans="1:23" x14ac:dyDescent="0.45">
      <c r="A180" s="157"/>
      <c r="B180" s="157"/>
      <c r="C180" s="77">
        <v>178</v>
      </c>
      <c r="D180" s="38"/>
      <c r="E180" s="10"/>
      <c r="F180" s="82"/>
      <c r="G180" s="11"/>
      <c r="H180" s="4"/>
      <c r="I180" s="79"/>
      <c r="J180" s="4"/>
      <c r="K180" s="4"/>
      <c r="L180" s="114"/>
      <c r="M180" s="11"/>
      <c r="N180" s="5"/>
      <c r="O180" s="3"/>
      <c r="P180" s="3"/>
      <c r="Q180" s="3"/>
      <c r="R180" s="3"/>
      <c r="S180" s="3"/>
      <c r="T180" s="3"/>
      <c r="U180" s="3"/>
      <c r="V180" s="4"/>
      <c r="W180" s="5"/>
    </row>
    <row r="181" spans="1:23" x14ac:dyDescent="0.45">
      <c r="A181" s="157"/>
      <c r="B181" s="157"/>
      <c r="C181" s="77">
        <v>179</v>
      </c>
      <c r="D181" s="38"/>
      <c r="E181" s="10"/>
      <c r="F181" s="82"/>
      <c r="G181" s="11"/>
      <c r="H181" s="4"/>
      <c r="I181" s="79"/>
      <c r="J181" s="4"/>
      <c r="K181" s="4"/>
      <c r="L181" s="114"/>
      <c r="M181" s="11"/>
      <c r="N181" s="5"/>
      <c r="O181" s="3"/>
      <c r="P181" s="3"/>
      <c r="Q181" s="3"/>
      <c r="R181" s="3"/>
      <c r="S181" s="3"/>
      <c r="T181" s="3"/>
      <c r="U181" s="3"/>
      <c r="V181" s="4"/>
      <c r="W181" s="5"/>
    </row>
    <row r="182" spans="1:23" x14ac:dyDescent="0.45">
      <c r="A182" s="157"/>
      <c r="B182" s="157"/>
      <c r="C182" s="77">
        <v>180</v>
      </c>
      <c r="D182" s="38"/>
      <c r="E182" s="10"/>
      <c r="F182" s="82"/>
      <c r="G182" s="11"/>
      <c r="H182" s="4"/>
      <c r="I182" s="79"/>
      <c r="J182" s="4"/>
      <c r="K182" s="4"/>
      <c r="L182" s="114"/>
      <c r="M182" s="11"/>
      <c r="N182" s="5"/>
      <c r="O182" s="3"/>
      <c r="P182" s="3"/>
      <c r="Q182" s="3"/>
      <c r="R182" s="3"/>
      <c r="S182" s="3"/>
      <c r="T182" s="3"/>
      <c r="U182" s="3"/>
      <c r="V182" s="4"/>
      <c r="W182" s="5"/>
    </row>
    <row r="183" spans="1:23" x14ac:dyDescent="0.45">
      <c r="A183" s="157"/>
      <c r="B183" s="157"/>
      <c r="C183" s="77">
        <v>181</v>
      </c>
      <c r="D183" s="38"/>
      <c r="E183" s="10"/>
      <c r="F183" s="82"/>
      <c r="G183" s="11"/>
      <c r="H183" s="4"/>
      <c r="I183" s="79"/>
      <c r="J183" s="4"/>
      <c r="K183" s="4"/>
      <c r="L183" s="114"/>
      <c r="M183" s="11"/>
      <c r="N183" s="5"/>
      <c r="O183" s="3"/>
      <c r="P183" s="3"/>
      <c r="Q183" s="3"/>
      <c r="R183" s="3"/>
      <c r="S183" s="3"/>
      <c r="T183" s="3"/>
      <c r="U183" s="3"/>
      <c r="V183" s="4"/>
      <c r="W183" s="5"/>
    </row>
    <row r="184" spans="1:23" x14ac:dyDescent="0.45">
      <c r="A184" s="130"/>
      <c r="B184" s="130"/>
      <c r="C184" s="77">
        <v>182</v>
      </c>
      <c r="D184" s="38"/>
      <c r="E184" s="10"/>
      <c r="F184" s="82"/>
      <c r="G184" s="11"/>
      <c r="H184" s="4"/>
      <c r="I184" s="79"/>
      <c r="J184" s="4"/>
      <c r="K184" s="4"/>
      <c r="L184" s="114"/>
      <c r="M184" s="11"/>
      <c r="N184" s="5"/>
      <c r="O184" s="3"/>
      <c r="P184" s="3"/>
      <c r="Q184" s="3"/>
      <c r="R184" s="3"/>
      <c r="S184" s="3"/>
      <c r="T184" s="3"/>
      <c r="U184" s="3"/>
      <c r="V184" s="4"/>
      <c r="W184" s="5"/>
    </row>
    <row r="185" spans="1:23" x14ac:dyDescent="0.45">
      <c r="A185" s="130"/>
      <c r="B185" s="130"/>
      <c r="C185" s="77">
        <v>183</v>
      </c>
      <c r="D185" s="38"/>
      <c r="E185" s="10"/>
      <c r="F185" s="82"/>
      <c r="G185" s="11"/>
      <c r="H185" s="4"/>
      <c r="I185" s="4"/>
      <c r="J185" s="4"/>
      <c r="K185" s="4"/>
      <c r="L185" s="114"/>
      <c r="M185" s="11"/>
      <c r="N185" s="5"/>
      <c r="O185" s="3"/>
      <c r="P185" s="3"/>
      <c r="Q185" s="3"/>
      <c r="R185" s="3"/>
      <c r="S185" s="3"/>
      <c r="T185" s="3"/>
      <c r="U185" s="3"/>
      <c r="V185" s="4"/>
      <c r="W185" s="5"/>
    </row>
    <row r="186" spans="1:23" x14ac:dyDescent="0.45">
      <c r="A186" s="130"/>
      <c r="B186" s="130"/>
      <c r="C186" s="77">
        <v>184</v>
      </c>
      <c r="D186" s="38"/>
      <c r="E186" s="10"/>
      <c r="F186" s="82"/>
      <c r="G186" s="11"/>
      <c r="H186" s="4"/>
      <c r="I186" s="4"/>
      <c r="J186" s="4"/>
      <c r="K186" s="4"/>
      <c r="L186" s="114"/>
      <c r="M186" s="11"/>
      <c r="N186" s="5"/>
      <c r="O186" s="3"/>
      <c r="P186" s="3"/>
      <c r="Q186" s="3"/>
      <c r="R186" s="3"/>
      <c r="S186" s="3"/>
      <c r="T186" s="3"/>
      <c r="U186" s="3"/>
      <c r="V186" s="4"/>
      <c r="W186" s="5"/>
    </row>
    <row r="187" spans="1:23" x14ac:dyDescent="0.45">
      <c r="A187" s="130"/>
      <c r="B187" s="130"/>
      <c r="C187" s="77">
        <v>185</v>
      </c>
      <c r="D187" s="38"/>
      <c r="E187" s="10"/>
      <c r="F187" s="82"/>
      <c r="G187" s="11"/>
      <c r="H187" s="4"/>
      <c r="I187" s="4"/>
      <c r="J187" s="4"/>
      <c r="K187" s="4"/>
      <c r="L187" s="114"/>
      <c r="M187" s="11"/>
      <c r="N187" s="5"/>
      <c r="O187" s="3"/>
      <c r="P187" s="3"/>
      <c r="Q187" s="3"/>
      <c r="R187" s="3"/>
      <c r="S187" s="3"/>
      <c r="T187" s="3"/>
      <c r="U187" s="3"/>
      <c r="V187" s="4"/>
      <c r="W187" s="5"/>
    </row>
    <row r="188" spans="1:23" x14ac:dyDescent="0.45">
      <c r="A188" s="130"/>
      <c r="B188" s="130"/>
      <c r="C188" s="77">
        <v>186</v>
      </c>
      <c r="D188" s="38"/>
      <c r="E188" s="10"/>
      <c r="F188" s="82"/>
      <c r="G188" s="11"/>
      <c r="H188" s="4"/>
      <c r="I188" s="4"/>
      <c r="J188" s="4"/>
      <c r="K188" s="4"/>
      <c r="L188" s="114"/>
      <c r="M188" s="11"/>
      <c r="N188" s="5"/>
      <c r="O188" s="3"/>
      <c r="P188" s="3"/>
      <c r="Q188" s="3"/>
      <c r="R188" s="3"/>
      <c r="S188" s="3"/>
      <c r="T188" s="3"/>
      <c r="U188" s="3"/>
      <c r="V188" s="4"/>
      <c r="W188" s="5"/>
    </row>
    <row r="189" spans="1:23" x14ac:dyDescent="0.45">
      <c r="A189" s="130"/>
      <c r="B189" s="130"/>
      <c r="C189" s="77">
        <v>187</v>
      </c>
      <c r="D189" s="38"/>
      <c r="E189" s="10"/>
      <c r="F189" s="82"/>
      <c r="G189" s="11"/>
      <c r="H189" s="4"/>
      <c r="I189" s="4"/>
      <c r="J189" s="4"/>
      <c r="K189" s="4"/>
      <c r="L189" s="114"/>
      <c r="M189" s="11"/>
      <c r="N189" s="5"/>
      <c r="O189" s="3"/>
      <c r="P189" s="3"/>
      <c r="Q189" s="3"/>
      <c r="R189" s="3"/>
      <c r="S189" s="3"/>
      <c r="T189" s="3"/>
      <c r="U189" s="3"/>
      <c r="V189" s="4"/>
      <c r="W189" s="5"/>
    </row>
    <row r="190" spans="1:23" x14ac:dyDescent="0.45">
      <c r="A190" s="130"/>
      <c r="B190" s="130"/>
      <c r="C190" s="77">
        <v>188</v>
      </c>
      <c r="D190" s="38"/>
      <c r="E190" s="10"/>
      <c r="F190" s="82"/>
      <c r="G190" s="11"/>
      <c r="H190" s="4"/>
      <c r="I190" s="4"/>
      <c r="J190" s="4"/>
      <c r="K190" s="4"/>
      <c r="L190" s="114"/>
      <c r="M190" s="11"/>
      <c r="N190" s="5"/>
      <c r="O190" s="3"/>
      <c r="P190" s="3"/>
      <c r="Q190" s="3"/>
      <c r="R190" s="3"/>
      <c r="S190" s="3"/>
      <c r="T190" s="3"/>
      <c r="U190" s="3"/>
      <c r="V190" s="4"/>
      <c r="W190" s="5"/>
    </row>
    <row r="191" spans="1:23" x14ac:dyDescent="0.45">
      <c r="A191" s="130"/>
      <c r="B191" s="130"/>
      <c r="C191" s="77">
        <v>189</v>
      </c>
      <c r="D191" s="38"/>
      <c r="E191" s="10"/>
      <c r="F191" s="82"/>
      <c r="G191" s="11"/>
      <c r="H191" s="4"/>
      <c r="I191" s="4"/>
      <c r="J191" s="4"/>
      <c r="K191" s="4"/>
      <c r="L191" s="114"/>
      <c r="M191" s="11"/>
      <c r="N191" s="5"/>
      <c r="O191" s="3"/>
      <c r="P191" s="3"/>
      <c r="Q191" s="3"/>
      <c r="R191" s="3"/>
      <c r="S191" s="3"/>
      <c r="T191" s="3"/>
      <c r="U191" s="3"/>
      <c r="V191" s="4"/>
      <c r="W191" s="5"/>
    </row>
    <row r="192" spans="1:23" x14ac:dyDescent="0.45">
      <c r="A192" s="130"/>
      <c r="B192" s="130"/>
      <c r="C192" s="77">
        <v>190</v>
      </c>
      <c r="D192" s="38"/>
      <c r="E192" s="10"/>
      <c r="F192" s="82"/>
      <c r="G192" s="11"/>
      <c r="H192" s="4"/>
      <c r="I192" s="4"/>
      <c r="J192" s="4"/>
      <c r="K192" s="4"/>
      <c r="L192" s="114"/>
      <c r="M192" s="11"/>
      <c r="N192" s="5"/>
      <c r="O192" s="3"/>
      <c r="P192" s="3"/>
      <c r="Q192" s="3"/>
      <c r="R192" s="3"/>
      <c r="S192" s="3"/>
      <c r="T192" s="3"/>
      <c r="U192" s="3"/>
      <c r="V192" s="4"/>
      <c r="W192" s="5"/>
    </row>
    <row r="193" spans="1:23" x14ac:dyDescent="0.45">
      <c r="A193" s="130"/>
      <c r="B193" s="130"/>
      <c r="C193" s="77">
        <v>191</v>
      </c>
      <c r="D193" s="38"/>
      <c r="E193" s="10"/>
      <c r="F193" s="82"/>
      <c r="G193" s="11"/>
      <c r="H193" s="4"/>
      <c r="I193" s="4"/>
      <c r="J193" s="4"/>
      <c r="K193" s="4"/>
      <c r="L193" s="114"/>
      <c r="M193" s="11"/>
      <c r="N193" s="5"/>
      <c r="O193" s="3"/>
      <c r="P193" s="3"/>
      <c r="Q193" s="3"/>
      <c r="R193" s="3"/>
      <c r="S193" s="3"/>
      <c r="T193" s="3"/>
      <c r="U193" s="3"/>
      <c r="V193" s="4"/>
      <c r="W193" s="5"/>
    </row>
    <row r="194" spans="1:23" x14ac:dyDescent="0.45">
      <c r="A194" s="130"/>
      <c r="B194" s="130"/>
      <c r="C194" s="77">
        <v>192</v>
      </c>
      <c r="D194" s="38"/>
      <c r="E194" s="10"/>
      <c r="F194" s="82"/>
      <c r="G194" s="11"/>
      <c r="H194" s="4"/>
      <c r="I194" s="4"/>
      <c r="J194" s="4"/>
      <c r="K194" s="4"/>
      <c r="L194" s="114"/>
      <c r="M194" s="11"/>
      <c r="N194" s="5"/>
      <c r="O194" s="3"/>
      <c r="P194" s="3"/>
      <c r="Q194" s="3"/>
      <c r="R194" s="3"/>
      <c r="S194" s="3"/>
      <c r="T194" s="3"/>
      <c r="U194" s="3"/>
      <c r="V194" s="4"/>
      <c r="W194" s="5"/>
    </row>
    <row r="195" spans="1:23" x14ac:dyDescent="0.45">
      <c r="A195" s="130"/>
      <c r="B195" s="130"/>
      <c r="C195" s="77">
        <v>193</v>
      </c>
      <c r="D195" s="38"/>
      <c r="E195" s="10"/>
      <c r="F195" s="82"/>
      <c r="G195" s="11"/>
      <c r="H195" s="4"/>
      <c r="I195" s="4"/>
      <c r="J195" s="4"/>
      <c r="K195" s="4"/>
      <c r="L195" s="81"/>
      <c r="M195" s="11"/>
      <c r="N195" s="5"/>
      <c r="O195" s="3"/>
      <c r="P195" s="3"/>
      <c r="Q195" s="3"/>
      <c r="R195" s="3"/>
      <c r="S195" s="3"/>
      <c r="T195" s="3"/>
      <c r="U195" s="3"/>
      <c r="V195" s="4"/>
      <c r="W195" s="5"/>
    </row>
    <row r="196" spans="1:23" x14ac:dyDescent="0.45">
      <c r="A196" s="130"/>
      <c r="B196" s="130"/>
      <c r="C196" s="77">
        <v>194</v>
      </c>
      <c r="D196" s="38"/>
      <c r="E196" s="10"/>
      <c r="F196" s="82"/>
      <c r="G196" s="11"/>
      <c r="H196" s="4"/>
      <c r="I196" s="4"/>
      <c r="J196" s="4"/>
      <c r="K196" s="4"/>
      <c r="L196" s="81"/>
      <c r="M196" s="11"/>
      <c r="N196" s="5"/>
      <c r="O196" s="3"/>
      <c r="P196" s="3"/>
      <c r="Q196" s="3"/>
      <c r="R196" s="3"/>
      <c r="S196" s="3"/>
      <c r="T196" s="3"/>
      <c r="U196" s="3"/>
      <c r="V196" s="4"/>
      <c r="W196" s="5"/>
    </row>
    <row r="197" spans="1:23" x14ac:dyDescent="0.45">
      <c r="A197" s="130"/>
      <c r="B197" s="130"/>
      <c r="C197" s="77">
        <v>195</v>
      </c>
      <c r="D197" s="38"/>
      <c r="E197" s="10"/>
      <c r="F197" s="82"/>
      <c r="G197" s="11"/>
      <c r="H197" s="4"/>
      <c r="I197" s="4"/>
      <c r="J197" s="4"/>
      <c r="K197" s="4"/>
      <c r="L197" s="81"/>
      <c r="M197" s="11"/>
      <c r="N197" s="5"/>
      <c r="O197" s="3"/>
      <c r="P197" s="3"/>
      <c r="Q197" s="3"/>
      <c r="R197" s="3"/>
      <c r="S197" s="3"/>
      <c r="T197" s="3"/>
      <c r="U197" s="3"/>
      <c r="V197" s="4"/>
      <c r="W197" s="5"/>
    </row>
    <row r="198" spans="1:23" x14ac:dyDescent="0.45">
      <c r="A198" s="130"/>
      <c r="B198" s="130"/>
      <c r="C198" s="77">
        <v>196</v>
      </c>
      <c r="D198" s="38"/>
      <c r="E198" s="10"/>
      <c r="F198" s="82"/>
      <c r="G198" s="11"/>
      <c r="H198" s="4"/>
      <c r="I198" s="4"/>
      <c r="J198" s="4"/>
      <c r="K198" s="4"/>
      <c r="L198" s="81"/>
      <c r="M198" s="11"/>
      <c r="N198" s="5"/>
      <c r="O198" s="3"/>
      <c r="P198" s="3"/>
      <c r="Q198" s="3"/>
      <c r="R198" s="3"/>
      <c r="S198" s="3"/>
      <c r="T198" s="3"/>
      <c r="U198" s="3"/>
      <c r="V198" s="4"/>
      <c r="W198" s="5"/>
    </row>
    <row r="199" spans="1:23" x14ac:dyDescent="0.45">
      <c r="A199" s="130"/>
      <c r="B199" s="130"/>
      <c r="C199" s="77">
        <v>197</v>
      </c>
      <c r="D199" s="38"/>
      <c r="E199" s="10"/>
      <c r="F199" s="82"/>
      <c r="G199" s="11"/>
      <c r="H199" s="4"/>
      <c r="I199" s="4"/>
      <c r="J199" s="4"/>
      <c r="K199" s="4"/>
      <c r="L199" s="11"/>
      <c r="M199" s="11"/>
      <c r="N199" s="5"/>
      <c r="O199" s="3"/>
      <c r="P199" s="3"/>
      <c r="Q199" s="3"/>
      <c r="R199" s="3"/>
      <c r="S199" s="3"/>
      <c r="T199" s="3"/>
      <c r="U199" s="3"/>
      <c r="V199" s="4"/>
      <c r="W199" s="5"/>
    </row>
    <row r="200" spans="1:23" x14ac:dyDescent="0.45">
      <c r="A200" s="130"/>
      <c r="B200" s="130"/>
      <c r="C200" s="77">
        <v>198</v>
      </c>
      <c r="D200" s="38"/>
      <c r="E200" s="10"/>
      <c r="F200" s="82"/>
      <c r="G200" s="11"/>
      <c r="H200" s="4"/>
      <c r="I200" s="4"/>
      <c r="J200" s="4"/>
      <c r="K200" s="4"/>
      <c r="L200" s="11"/>
      <c r="M200" s="11"/>
      <c r="N200" s="5"/>
      <c r="O200" s="3"/>
      <c r="P200" s="3"/>
      <c r="Q200" s="3"/>
      <c r="R200" s="3"/>
      <c r="S200" s="3"/>
      <c r="T200" s="3"/>
      <c r="U200" s="3"/>
      <c r="V200" s="4"/>
      <c r="W200" s="5"/>
    </row>
    <row r="201" spans="1:23" x14ac:dyDescent="0.45">
      <c r="A201" s="130"/>
      <c r="B201" s="130"/>
      <c r="C201" s="77">
        <v>199</v>
      </c>
      <c r="D201" s="38"/>
      <c r="E201" s="10"/>
      <c r="F201" s="82"/>
      <c r="G201" s="11"/>
      <c r="H201" s="4"/>
      <c r="I201" s="4"/>
      <c r="J201" s="4"/>
      <c r="K201" s="4"/>
      <c r="L201" s="11"/>
      <c r="M201" s="11"/>
      <c r="N201" s="5"/>
      <c r="O201" s="3"/>
      <c r="P201" s="3"/>
      <c r="Q201" s="3"/>
      <c r="R201" s="3"/>
      <c r="S201" s="3"/>
      <c r="T201" s="3"/>
      <c r="U201" s="3"/>
      <c r="V201" s="4"/>
      <c r="W201" s="5"/>
    </row>
    <row r="202" spans="1:23" x14ac:dyDescent="0.45">
      <c r="A202" s="130"/>
      <c r="B202" s="130"/>
      <c r="C202" s="77">
        <v>200</v>
      </c>
      <c r="D202" s="38"/>
      <c r="E202" s="10"/>
      <c r="F202" s="82"/>
      <c r="G202" s="11"/>
      <c r="H202" s="4"/>
      <c r="I202" s="4"/>
      <c r="J202" s="4"/>
      <c r="K202" s="4"/>
      <c r="L202" s="11"/>
      <c r="M202" s="11"/>
      <c r="N202" s="5"/>
      <c r="O202" s="3"/>
      <c r="P202" s="3"/>
      <c r="Q202" s="3"/>
      <c r="R202" s="3"/>
      <c r="S202" s="3"/>
      <c r="T202" s="3"/>
      <c r="U202" s="3"/>
      <c r="V202" s="4"/>
      <c r="W202" s="5"/>
    </row>
    <row r="203" spans="1:23" x14ac:dyDescent="0.45">
      <c r="A203" s="130"/>
      <c r="B203" s="130"/>
      <c r="C203" s="77">
        <v>200</v>
      </c>
      <c r="D203" s="38"/>
      <c r="E203" s="10"/>
      <c r="F203" s="82"/>
      <c r="G203" s="11"/>
      <c r="H203" s="4"/>
      <c r="I203" s="4"/>
      <c r="J203" s="4"/>
      <c r="K203" s="4"/>
      <c r="L203" s="11"/>
      <c r="M203" s="11"/>
      <c r="N203" s="5"/>
      <c r="O203" s="3"/>
      <c r="P203" s="3"/>
      <c r="Q203" s="3"/>
      <c r="R203" s="3"/>
      <c r="S203" s="3"/>
      <c r="T203" s="3"/>
      <c r="U203" s="3"/>
      <c r="V203" s="4"/>
      <c r="W203" s="5"/>
    </row>
    <row r="204" spans="1:23" x14ac:dyDescent="0.45">
      <c r="A204" s="3"/>
      <c r="B204" s="3"/>
      <c r="C204" s="77">
        <v>201</v>
      </c>
      <c r="D204" s="38"/>
      <c r="E204" s="10"/>
      <c r="F204" s="82"/>
      <c r="G204" s="11"/>
      <c r="H204" s="4"/>
      <c r="I204" s="4"/>
      <c r="J204" s="4"/>
      <c r="K204" s="4"/>
      <c r="L204" s="11"/>
      <c r="M204" s="11"/>
      <c r="N204" s="5"/>
      <c r="O204" s="3"/>
      <c r="P204" s="3"/>
      <c r="Q204" s="3"/>
      <c r="R204" s="3"/>
      <c r="S204" s="3"/>
      <c r="T204" s="3"/>
      <c r="U204" s="3"/>
      <c r="V204" s="4"/>
      <c r="W204" s="5"/>
    </row>
    <row r="205" spans="1:23" x14ac:dyDescent="0.45">
      <c r="A205" s="3"/>
      <c r="B205" s="3"/>
      <c r="C205" s="77">
        <v>202</v>
      </c>
      <c r="D205" s="38"/>
      <c r="E205" s="10"/>
      <c r="F205" s="82"/>
      <c r="G205" s="11"/>
      <c r="H205" s="4"/>
      <c r="I205" s="4"/>
      <c r="J205" s="4"/>
      <c r="K205" s="4"/>
      <c r="L205" s="11"/>
      <c r="M205" s="11"/>
      <c r="N205" s="5"/>
      <c r="O205" s="3"/>
      <c r="P205" s="3"/>
      <c r="Q205" s="3"/>
      <c r="R205" s="3"/>
      <c r="S205" s="3"/>
      <c r="T205" s="3"/>
      <c r="U205" s="3"/>
      <c r="V205" s="4"/>
      <c r="W205" s="5"/>
    </row>
    <row r="206" spans="1:23" x14ac:dyDescent="0.45">
      <c r="A206" s="3"/>
      <c r="B206" s="3"/>
      <c r="C206" s="77">
        <v>203</v>
      </c>
      <c r="D206" s="38"/>
      <c r="E206" s="10"/>
      <c r="F206" s="82"/>
      <c r="G206" s="11"/>
      <c r="H206" s="4"/>
      <c r="I206" s="4"/>
      <c r="J206" s="4"/>
      <c r="K206" s="4"/>
      <c r="L206" s="11"/>
      <c r="M206" s="11"/>
      <c r="N206" s="5"/>
      <c r="O206" s="3"/>
      <c r="P206" s="3"/>
      <c r="Q206" s="3"/>
      <c r="R206" s="3"/>
      <c r="S206" s="3"/>
      <c r="T206" s="3"/>
      <c r="U206" s="3"/>
      <c r="V206" s="4"/>
      <c r="W206" s="5"/>
    </row>
    <row r="207" spans="1:23" x14ac:dyDescent="0.45">
      <c r="A207" s="3"/>
      <c r="B207" s="3"/>
      <c r="C207" s="77">
        <v>204</v>
      </c>
      <c r="D207" s="38"/>
      <c r="E207" s="10"/>
      <c r="F207" s="82"/>
      <c r="G207" s="11"/>
      <c r="H207" s="4"/>
      <c r="I207" s="4"/>
      <c r="J207" s="4"/>
      <c r="K207" s="4"/>
      <c r="L207" s="11"/>
      <c r="M207" s="11"/>
      <c r="N207" s="5"/>
      <c r="O207" s="3"/>
      <c r="P207" s="3"/>
      <c r="Q207" s="3"/>
      <c r="R207" s="3"/>
      <c r="S207" s="3"/>
      <c r="T207" s="3"/>
      <c r="U207" s="3"/>
      <c r="V207" s="4"/>
      <c r="W207" s="5"/>
    </row>
    <row r="208" spans="1:23" x14ac:dyDescent="0.45">
      <c r="A208" s="3"/>
      <c r="B208" s="3"/>
      <c r="C208" s="77">
        <v>205</v>
      </c>
      <c r="D208" s="38"/>
      <c r="E208" s="10"/>
      <c r="F208" s="82"/>
      <c r="G208" s="11"/>
      <c r="H208" s="4"/>
      <c r="I208" s="4"/>
      <c r="J208" s="4"/>
      <c r="K208" s="4"/>
      <c r="L208" s="11"/>
      <c r="M208" s="11"/>
      <c r="N208" s="5"/>
      <c r="O208" s="3"/>
      <c r="P208" s="3"/>
      <c r="Q208" s="3"/>
      <c r="R208" s="3"/>
      <c r="S208" s="3"/>
      <c r="T208" s="3"/>
      <c r="U208" s="3"/>
      <c r="V208" s="4"/>
      <c r="W208" s="5"/>
    </row>
    <row r="209" spans="1:23" x14ac:dyDescent="0.45">
      <c r="A209" s="3"/>
      <c r="B209" s="3"/>
      <c r="C209" s="77">
        <v>206</v>
      </c>
      <c r="D209" s="38"/>
      <c r="E209" s="10"/>
      <c r="F209" s="82"/>
      <c r="G209" s="11"/>
      <c r="H209" s="4"/>
      <c r="I209" s="4"/>
      <c r="J209" s="4"/>
      <c r="K209" s="4"/>
      <c r="L209" s="11"/>
      <c r="M209" s="11"/>
      <c r="N209" s="5"/>
      <c r="O209" s="3"/>
      <c r="P209" s="3"/>
      <c r="Q209" s="3"/>
      <c r="R209" s="3"/>
      <c r="S209" s="3"/>
      <c r="T209" s="3"/>
      <c r="U209" s="3"/>
      <c r="V209" s="4"/>
      <c r="W209" s="5"/>
    </row>
    <row r="210" spans="1:23" x14ac:dyDescent="0.45">
      <c r="A210" s="3"/>
      <c r="B210" s="3"/>
      <c r="C210" s="77">
        <v>207</v>
      </c>
      <c r="D210" s="38"/>
      <c r="E210" s="10"/>
      <c r="F210" s="82"/>
      <c r="G210" s="11"/>
      <c r="H210" s="4"/>
      <c r="I210" s="4"/>
      <c r="J210" s="4"/>
      <c r="K210" s="4"/>
      <c r="L210" s="11"/>
      <c r="M210" s="11"/>
      <c r="N210" s="5"/>
      <c r="O210" s="3"/>
      <c r="P210" s="3"/>
      <c r="Q210" s="3"/>
      <c r="R210" s="3"/>
      <c r="S210" s="3"/>
      <c r="T210" s="3"/>
      <c r="U210" s="3"/>
      <c r="V210" s="4"/>
      <c r="W210" s="5"/>
    </row>
    <row r="211" spans="1:23" x14ac:dyDescent="0.45">
      <c r="A211" s="3"/>
      <c r="B211" s="3"/>
      <c r="C211" s="77">
        <v>208</v>
      </c>
      <c r="D211" s="38"/>
      <c r="E211" s="10"/>
      <c r="F211" s="82"/>
      <c r="G211" s="11"/>
      <c r="H211" s="4"/>
      <c r="I211" s="4"/>
      <c r="J211" s="4"/>
      <c r="K211" s="4"/>
      <c r="L211" s="11"/>
      <c r="M211" s="11"/>
      <c r="N211" s="5"/>
      <c r="O211" s="3"/>
      <c r="P211" s="3"/>
      <c r="Q211" s="3"/>
      <c r="R211" s="3"/>
      <c r="S211" s="3"/>
      <c r="T211" s="3"/>
      <c r="U211" s="3"/>
      <c r="V211" s="4"/>
      <c r="W211" s="5"/>
    </row>
    <row r="212" spans="1:23" x14ac:dyDescent="0.45">
      <c r="A212" s="3"/>
      <c r="B212" s="3"/>
      <c r="C212" s="77">
        <v>209</v>
      </c>
      <c r="D212" s="38"/>
      <c r="E212" s="10"/>
      <c r="F212" s="82"/>
      <c r="G212" s="11"/>
      <c r="H212" s="4"/>
      <c r="I212" s="4"/>
      <c r="J212" s="4"/>
      <c r="K212" s="4"/>
      <c r="L212" s="11"/>
      <c r="M212" s="11"/>
      <c r="N212" s="5"/>
      <c r="O212" s="3"/>
      <c r="P212" s="3"/>
      <c r="Q212" s="3"/>
      <c r="R212" s="3"/>
      <c r="S212" s="3"/>
      <c r="T212" s="3"/>
      <c r="U212" s="3"/>
      <c r="V212" s="4"/>
      <c r="W212" s="5"/>
    </row>
    <row r="213" spans="1:23" x14ac:dyDescent="0.45">
      <c r="A213" s="3"/>
      <c r="B213" s="3"/>
      <c r="C213" s="77">
        <v>210</v>
      </c>
      <c r="D213" s="38"/>
      <c r="E213" s="10"/>
      <c r="F213" s="82"/>
      <c r="G213" s="11"/>
      <c r="H213" s="4"/>
      <c r="I213" s="4"/>
      <c r="J213" s="4"/>
      <c r="K213" s="4"/>
      <c r="L213" s="11"/>
      <c r="M213" s="11"/>
      <c r="N213" s="5"/>
      <c r="O213" s="3"/>
      <c r="P213" s="3"/>
      <c r="Q213" s="3"/>
      <c r="R213" s="3"/>
      <c r="S213" s="3"/>
      <c r="T213" s="3"/>
      <c r="U213" s="3"/>
      <c r="V213" s="4"/>
      <c r="W213" s="5"/>
    </row>
    <row r="214" spans="1:23" x14ac:dyDescent="0.45">
      <c r="A214" s="3"/>
      <c r="B214" s="3"/>
      <c r="C214" s="77">
        <v>211</v>
      </c>
      <c r="D214" s="38"/>
      <c r="E214" s="10"/>
      <c r="F214" s="82"/>
      <c r="G214" s="11"/>
      <c r="H214" s="4"/>
      <c r="I214" s="4"/>
      <c r="J214" s="4"/>
      <c r="K214" s="4"/>
      <c r="L214" s="11"/>
      <c r="M214" s="11"/>
      <c r="N214" s="5"/>
      <c r="O214" s="3"/>
      <c r="P214" s="3"/>
      <c r="Q214" s="3"/>
      <c r="R214" s="3"/>
      <c r="S214" s="3"/>
      <c r="T214" s="3"/>
      <c r="U214" s="3"/>
      <c r="V214" s="4"/>
      <c r="W214" s="5"/>
    </row>
    <row r="215" spans="1:23" x14ac:dyDescent="0.45">
      <c r="A215" s="3"/>
      <c r="B215" s="3"/>
      <c r="C215" s="77">
        <v>212</v>
      </c>
      <c r="D215" s="38"/>
      <c r="E215" s="10"/>
      <c r="F215" s="82"/>
      <c r="G215" s="11"/>
      <c r="H215" s="4"/>
      <c r="I215" s="4"/>
      <c r="J215" s="4"/>
      <c r="K215" s="4"/>
      <c r="L215" s="11"/>
      <c r="M215" s="11"/>
      <c r="N215" s="5"/>
      <c r="O215" s="3"/>
      <c r="P215" s="3"/>
      <c r="Q215" s="3"/>
      <c r="R215" s="3"/>
      <c r="S215" s="3"/>
      <c r="T215" s="3"/>
      <c r="U215" s="3"/>
      <c r="V215" s="4"/>
      <c r="W215" s="5"/>
    </row>
    <row r="216" spans="1:23" x14ac:dyDescent="0.45">
      <c r="A216" s="3"/>
      <c r="B216" s="3"/>
      <c r="C216" s="77">
        <v>213</v>
      </c>
      <c r="D216" s="38"/>
      <c r="E216" s="10"/>
      <c r="F216" s="82"/>
      <c r="G216" s="11"/>
      <c r="H216" s="4"/>
      <c r="I216" s="4"/>
      <c r="J216" s="4"/>
      <c r="K216" s="4"/>
      <c r="L216" s="11"/>
      <c r="M216" s="11"/>
      <c r="N216" s="5"/>
      <c r="O216" s="3"/>
      <c r="P216" s="3"/>
      <c r="Q216" s="3"/>
      <c r="R216" s="3"/>
      <c r="S216" s="3"/>
      <c r="T216" s="3"/>
      <c r="U216" s="3"/>
      <c r="V216" s="4"/>
      <c r="W216" s="5"/>
    </row>
    <row r="217" spans="1:23" x14ac:dyDescent="0.45">
      <c r="A217" s="3"/>
      <c r="B217" s="3"/>
      <c r="C217" s="77">
        <v>214</v>
      </c>
      <c r="D217" s="38"/>
      <c r="E217" s="10"/>
      <c r="F217" s="82"/>
      <c r="G217" s="11"/>
      <c r="H217" s="4"/>
      <c r="I217" s="4"/>
      <c r="J217" s="4"/>
      <c r="K217" s="4"/>
      <c r="L217" s="11"/>
      <c r="M217" s="11"/>
      <c r="N217" s="5"/>
      <c r="O217" s="3"/>
      <c r="P217" s="3"/>
      <c r="Q217" s="3"/>
      <c r="R217" s="3"/>
      <c r="S217" s="3"/>
      <c r="T217" s="3"/>
      <c r="U217" s="3"/>
      <c r="V217" s="4"/>
      <c r="W217" s="5"/>
    </row>
    <row r="218" spans="1:23" x14ac:dyDescent="0.45">
      <c r="A218" s="3"/>
      <c r="B218" s="3"/>
      <c r="C218" s="77">
        <v>215</v>
      </c>
      <c r="D218" s="38"/>
      <c r="E218" s="10"/>
      <c r="F218" s="82"/>
      <c r="G218" s="11"/>
      <c r="H218" s="4"/>
      <c r="I218" s="4"/>
      <c r="J218" s="4"/>
      <c r="K218" s="4"/>
      <c r="L218" s="11"/>
      <c r="M218" s="11"/>
      <c r="N218" s="5"/>
      <c r="O218" s="3"/>
      <c r="P218" s="3"/>
      <c r="Q218" s="3"/>
      <c r="R218" s="3"/>
      <c r="S218" s="3"/>
      <c r="T218" s="3"/>
      <c r="U218" s="3"/>
      <c r="V218" s="4"/>
      <c r="W218" s="5"/>
    </row>
    <row r="219" spans="1:23" x14ac:dyDescent="0.45">
      <c r="A219" s="3"/>
      <c r="B219" s="3"/>
      <c r="C219" s="77">
        <v>216</v>
      </c>
      <c r="D219" s="38"/>
      <c r="E219" s="10"/>
      <c r="F219" s="82"/>
      <c r="G219" s="11"/>
      <c r="H219" s="4"/>
      <c r="I219" s="4"/>
      <c r="J219" s="4"/>
      <c r="K219" s="4"/>
      <c r="L219" s="11"/>
      <c r="M219" s="11"/>
      <c r="N219" s="5"/>
      <c r="O219" s="3"/>
      <c r="P219" s="3"/>
      <c r="Q219" s="3"/>
      <c r="R219" s="3"/>
      <c r="S219" s="3"/>
      <c r="T219" s="3"/>
      <c r="U219" s="3"/>
      <c r="V219" s="4"/>
      <c r="W219" s="5"/>
    </row>
    <row r="220" spans="1:23" x14ac:dyDescent="0.45">
      <c r="A220" s="3"/>
      <c r="B220" s="3"/>
      <c r="C220" s="77">
        <v>217</v>
      </c>
      <c r="D220" s="38"/>
      <c r="E220" s="10"/>
      <c r="F220" s="82"/>
      <c r="G220" s="11"/>
      <c r="H220" s="4"/>
      <c r="I220" s="4"/>
      <c r="J220" s="4"/>
      <c r="K220" s="4"/>
      <c r="L220" s="11"/>
      <c r="M220" s="11"/>
      <c r="N220" s="5"/>
      <c r="O220" s="3"/>
      <c r="P220" s="3"/>
      <c r="Q220" s="3"/>
      <c r="R220" s="3"/>
      <c r="S220" s="3"/>
      <c r="T220" s="3"/>
      <c r="U220" s="3"/>
      <c r="V220" s="4"/>
      <c r="W220" s="5"/>
    </row>
    <row r="221" spans="1:23" x14ac:dyDescent="0.45">
      <c r="A221" s="3"/>
      <c r="B221" s="3"/>
      <c r="C221" s="77">
        <v>218</v>
      </c>
      <c r="D221" s="38"/>
      <c r="E221" s="10"/>
      <c r="F221" s="82"/>
      <c r="G221" s="11"/>
      <c r="H221" s="4"/>
      <c r="I221" s="4"/>
      <c r="J221" s="4"/>
      <c r="K221" s="4"/>
      <c r="L221" s="11"/>
      <c r="M221" s="11"/>
      <c r="N221" s="5"/>
      <c r="O221" s="3"/>
      <c r="P221" s="3"/>
      <c r="Q221" s="3"/>
      <c r="R221" s="3"/>
      <c r="S221" s="3"/>
      <c r="T221" s="3"/>
      <c r="U221" s="3"/>
      <c r="V221" s="4"/>
      <c r="W221" s="5"/>
    </row>
    <row r="222" spans="1:23" x14ac:dyDescent="0.45">
      <c r="A222" s="3"/>
      <c r="B222" s="3"/>
      <c r="C222" s="77">
        <v>219</v>
      </c>
      <c r="D222" s="38"/>
      <c r="E222" s="10"/>
      <c r="F222" s="82"/>
      <c r="G222" s="11"/>
      <c r="H222" s="4"/>
      <c r="I222" s="4"/>
      <c r="J222" s="4"/>
      <c r="K222" s="4"/>
      <c r="L222" s="11"/>
      <c r="M222" s="11"/>
      <c r="N222" s="5"/>
      <c r="O222" s="3"/>
      <c r="P222" s="3"/>
      <c r="Q222" s="3"/>
      <c r="R222" s="3"/>
      <c r="S222" s="3"/>
      <c r="T222" s="3"/>
      <c r="U222" s="3"/>
      <c r="V222" s="4"/>
      <c r="W222" s="5"/>
    </row>
    <row r="223" spans="1:23" ht="14.65" thickBot="1" x14ac:dyDescent="0.5">
      <c r="A223" s="3"/>
      <c r="B223" s="3"/>
      <c r="C223" s="78">
        <v>220</v>
      </c>
      <c r="D223" s="36"/>
      <c r="E223" s="13"/>
      <c r="F223" s="83"/>
      <c r="G223" s="14"/>
      <c r="H223" s="76"/>
      <c r="I223" s="80"/>
      <c r="J223" s="80"/>
      <c r="K223" s="80"/>
      <c r="L223" s="11"/>
      <c r="M223" s="11"/>
      <c r="N223" s="6"/>
      <c r="O223" s="3"/>
      <c r="P223" s="3"/>
      <c r="Q223" s="3"/>
      <c r="R223" s="3"/>
      <c r="S223" s="3"/>
      <c r="T223" s="3"/>
      <c r="U223" s="3"/>
      <c r="V223" s="4"/>
      <c r="W223" s="6"/>
    </row>
  </sheetData>
  <sortState ref="A4:B194">
    <sortCondition ref="A4:A194"/>
  </sortState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RB2910"/>
  <sheetViews>
    <sheetView zoomScaleNormal="100" workbookViewId="0">
      <pane xSplit="2" ySplit="3" topLeftCell="F129" activePane="bottomRight" state="frozen"/>
      <selection pane="topRight" activeCell="C1" sqref="C1"/>
      <selection pane="bottomLeft" activeCell="A4" sqref="A4"/>
      <selection pane="bottomRight" activeCell="T160" sqref="T160"/>
    </sheetView>
  </sheetViews>
  <sheetFormatPr defaultColWidth="8.796875" defaultRowHeight="14.25" x14ac:dyDescent="0.45"/>
  <cols>
    <col min="1" max="1" width="19.33203125" style="72" bestFit="1" customWidth="1"/>
    <col min="2" max="2" width="9" style="73"/>
    <col min="3" max="3" width="24.33203125" style="18" bestFit="1" customWidth="1"/>
    <col min="4" max="5" width="8.33203125" customWidth="1"/>
    <col min="6" max="6" width="13.796875" customWidth="1"/>
    <col min="7" max="7" width="15.1328125" customWidth="1"/>
    <col min="8" max="12" width="10.6640625" customWidth="1"/>
    <col min="13" max="13" width="8.6640625" customWidth="1"/>
    <col min="14" max="21" width="12.1328125" customWidth="1"/>
    <col min="22" max="22" width="1.6640625" customWidth="1"/>
    <col min="23" max="23" width="19.1328125" bestFit="1" customWidth="1"/>
    <col min="24" max="25" width="12.1328125" customWidth="1"/>
    <col min="26" max="26" width="12.6640625" customWidth="1"/>
    <col min="27" max="31" width="12.1328125" customWidth="1"/>
    <col min="32" max="32" width="11.6640625" customWidth="1"/>
    <col min="33" max="33" width="10.33203125" bestFit="1" customWidth="1"/>
    <col min="34" max="34" width="6.1328125" bestFit="1" customWidth="1"/>
    <col min="35" max="35" width="17.33203125" bestFit="1" customWidth="1"/>
    <col min="36" max="36" width="8.6640625" customWidth="1"/>
    <col min="37" max="37" width="11.6640625" bestFit="1" customWidth="1"/>
    <col min="38" max="38" width="9.6640625" bestFit="1" customWidth="1"/>
    <col min="39" max="40" width="7.796875" bestFit="1" customWidth="1"/>
    <col min="41" max="42" width="13.46484375" customWidth="1"/>
    <col min="43" max="43" width="11.1328125" bestFit="1" customWidth="1"/>
    <col min="44" max="44" width="8.796875" bestFit="1" customWidth="1"/>
    <col min="45" max="45" width="9.33203125" bestFit="1" customWidth="1"/>
    <col min="46" max="46" width="11" bestFit="1" customWidth="1"/>
    <col min="47" max="47" width="12.1328125" bestFit="1" customWidth="1"/>
    <col min="48" max="48" width="9" bestFit="1" customWidth="1"/>
    <col min="49" max="49" width="9.6640625" customWidth="1"/>
    <col min="50" max="50" width="8.796875" bestFit="1" customWidth="1"/>
    <col min="51" max="248" width="7.796875" customWidth="1"/>
  </cols>
  <sheetData>
    <row r="1" spans="1:470" s="26" customFormat="1" ht="14.65" thickBot="1" x14ac:dyDescent="0.5">
      <c r="A1" s="62"/>
      <c r="B1" s="63"/>
      <c r="C1" s="35"/>
      <c r="M1" s="27"/>
      <c r="N1" s="30" t="s">
        <v>3</v>
      </c>
      <c r="O1" s="28"/>
      <c r="P1" s="28"/>
      <c r="Q1" s="28"/>
      <c r="R1" s="28"/>
      <c r="S1" s="28"/>
      <c r="T1" s="28"/>
      <c r="U1" s="28"/>
      <c r="V1" s="17"/>
      <c r="W1" s="62"/>
      <c r="X1" s="30" t="s">
        <v>11</v>
      </c>
      <c r="Y1" s="28"/>
      <c r="Z1" s="28"/>
      <c r="AA1" s="28"/>
      <c r="AB1" s="28"/>
      <c r="AC1" s="28"/>
      <c r="AD1" s="28"/>
      <c r="AE1" s="29"/>
      <c r="AG1" s="40"/>
      <c r="AH1" s="50"/>
      <c r="AI1" s="50"/>
      <c r="AJ1" s="41"/>
      <c r="AK1" s="4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</row>
    <row r="2" spans="1:470" s="26" customFormat="1" ht="28.9" thickBot="1" x14ac:dyDescent="0.5">
      <c r="A2" s="64" t="s">
        <v>0</v>
      </c>
      <c r="B2" s="65"/>
      <c r="C2" s="34"/>
      <c r="D2" s="28" t="s">
        <v>8</v>
      </c>
      <c r="E2" s="28"/>
      <c r="F2" s="28"/>
      <c r="G2" s="29"/>
      <c r="H2" s="28"/>
      <c r="I2" s="28"/>
      <c r="J2" s="28"/>
      <c r="K2" s="28"/>
      <c r="L2" s="28"/>
      <c r="M2" s="19" t="s">
        <v>4</v>
      </c>
      <c r="N2" s="21" t="str">
        <f>'Data Sheet'!O2</f>
        <v>Gair</v>
      </c>
      <c r="O2" s="22" t="str">
        <f>'Data Sheet'!P2</f>
        <v>Lehr</v>
      </c>
      <c r="P2" s="22" t="str">
        <f>'Data Sheet'!Q2</f>
        <v>Armstrong</v>
      </c>
      <c r="Q2" s="22" t="str">
        <f>'Data Sheet'!R2</f>
        <v>Steele</v>
      </c>
      <c r="R2" s="22" t="str">
        <f>'Data Sheet'!S2</f>
        <v>Bowers</v>
      </c>
      <c r="S2" s="22" t="str">
        <f>'Data Sheet'!T2</f>
        <v>Hicks</v>
      </c>
      <c r="T2" s="22" t="str">
        <f>'Data Sheet'!U2</f>
        <v>Cook</v>
      </c>
      <c r="U2" s="22" t="str">
        <f>'Data Sheet'!V2</f>
        <v>Loehr</v>
      </c>
      <c r="V2" s="5"/>
      <c r="W2" s="48"/>
      <c r="X2" s="21" t="str">
        <f t="shared" ref="X2:AE3" si="0">N2</f>
        <v>Gair</v>
      </c>
      <c r="Y2" s="22" t="str">
        <f t="shared" si="0"/>
        <v>Lehr</v>
      </c>
      <c r="Z2" s="22" t="str">
        <f t="shared" si="0"/>
        <v>Armstrong</v>
      </c>
      <c r="AA2" s="22" t="str">
        <f t="shared" si="0"/>
        <v>Steele</v>
      </c>
      <c r="AB2" s="22" t="str">
        <f t="shared" si="0"/>
        <v>Bowers</v>
      </c>
      <c r="AC2" s="22" t="str">
        <f t="shared" si="0"/>
        <v>Hicks</v>
      </c>
      <c r="AD2" s="22" t="str">
        <f t="shared" si="0"/>
        <v>Cook</v>
      </c>
      <c r="AE2" s="25" t="str">
        <f t="shared" si="0"/>
        <v>Loehr</v>
      </c>
      <c r="AF2" s="53" t="s">
        <v>24</v>
      </c>
      <c r="AG2" s="42"/>
      <c r="AH2" s="31"/>
      <c r="AI2" s="51"/>
      <c r="AJ2" s="39"/>
      <c r="AK2" s="43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</row>
    <row r="3" spans="1:470" s="26" customFormat="1" ht="43.25" customHeight="1" thickBot="1" x14ac:dyDescent="0.5">
      <c r="A3" s="66" t="s">
        <v>41</v>
      </c>
      <c r="B3" s="67" t="s">
        <v>33</v>
      </c>
      <c r="C3" s="32"/>
      <c r="D3" s="23" t="s">
        <v>9</v>
      </c>
      <c r="E3" s="24" t="s">
        <v>39</v>
      </c>
      <c r="F3" s="24" t="s">
        <v>38</v>
      </c>
      <c r="G3" s="24" t="s">
        <v>37</v>
      </c>
      <c r="H3" s="24" t="s">
        <v>40</v>
      </c>
      <c r="I3" s="24" t="s">
        <v>1</v>
      </c>
      <c r="J3" s="24" t="s">
        <v>2</v>
      </c>
      <c r="K3" s="24" t="s">
        <v>34</v>
      </c>
      <c r="L3" s="24" t="s">
        <v>35</v>
      </c>
      <c r="M3" s="20" t="s">
        <v>5</v>
      </c>
      <c r="N3" s="21" t="str">
        <f>'Data Sheet'!O3</f>
        <v>IEP</v>
      </c>
      <c r="O3" s="22" t="str">
        <f>'Data Sheet'!P3</f>
        <v>IEP</v>
      </c>
      <c r="P3" s="22" t="str">
        <f>'Data Sheet'!Q3</f>
        <v>IEP</v>
      </c>
      <c r="Q3" s="22" t="str">
        <f>'Data Sheet'!R3</f>
        <v>IEP</v>
      </c>
      <c r="R3" s="22" t="str">
        <f>'Data Sheet'!S3</f>
        <v>IEP</v>
      </c>
      <c r="S3" s="22" t="str">
        <f>'Data Sheet'!T3</f>
        <v>IEP</v>
      </c>
      <c r="T3" s="22" t="str">
        <f>'Data Sheet'!U3</f>
        <v>IEP</v>
      </c>
      <c r="U3" s="22" t="str">
        <f>'Data Sheet'!V3</f>
        <v>GIEP</v>
      </c>
      <c r="V3" s="5"/>
      <c r="W3" s="49" t="s">
        <v>19</v>
      </c>
      <c r="X3" s="21" t="str">
        <f t="shared" si="0"/>
        <v>IEP</v>
      </c>
      <c r="Y3" s="22" t="str">
        <f t="shared" si="0"/>
        <v>IEP</v>
      </c>
      <c r="Z3" s="22" t="str">
        <f t="shared" si="0"/>
        <v>IEP</v>
      </c>
      <c r="AA3" s="22" t="str">
        <f t="shared" si="0"/>
        <v>IEP</v>
      </c>
      <c r="AB3" s="22" t="str">
        <f t="shared" si="0"/>
        <v>IEP</v>
      </c>
      <c r="AC3" s="22" t="str">
        <f t="shared" si="0"/>
        <v>IEP</v>
      </c>
      <c r="AD3" s="22" t="str">
        <f t="shared" si="0"/>
        <v>IEP</v>
      </c>
      <c r="AE3" s="25" t="str">
        <f t="shared" si="0"/>
        <v>GIEP</v>
      </c>
      <c r="AF3" s="2">
        <f>COUNTA(X2:AE2)</f>
        <v>8</v>
      </c>
      <c r="AG3" s="33" t="s">
        <v>20</v>
      </c>
      <c r="AH3" s="33" t="s">
        <v>23</v>
      </c>
      <c r="AI3" s="20" t="s">
        <v>21</v>
      </c>
      <c r="AJ3" s="33" t="s">
        <v>22</v>
      </c>
      <c r="AK3" s="20" t="s">
        <v>12</v>
      </c>
      <c r="AL3" s="20" t="s">
        <v>60</v>
      </c>
      <c r="AM3" s="20" t="s">
        <v>61</v>
      </c>
      <c r="AN3"/>
      <c r="AO3" s="20" t="s">
        <v>545</v>
      </c>
      <c r="AP3" s="20" t="s">
        <v>547</v>
      </c>
      <c r="AQ3" s="20" t="s">
        <v>546</v>
      </c>
      <c r="AR3" s="20" t="s">
        <v>548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</row>
    <row r="4" spans="1:470" ht="14.65" thickBot="1" x14ac:dyDescent="0.5">
      <c r="A4" s="68" t="str">
        <f>IF(ISTEXT('Data Sheet'!B4),'Data Sheet'!B4&amp;" "&amp;'Data Sheet'!A4,"")</f>
        <v>COLLIN NASDEO</v>
      </c>
      <c r="B4" s="69">
        <f>'Data Sheet'!C4</f>
        <v>1</v>
      </c>
      <c r="C4" s="37"/>
      <c r="D4" s="44">
        <f>'Data Sheet'!E4</f>
        <v>1</v>
      </c>
      <c r="E4" s="44">
        <f>'Data Sheet'!F4</f>
        <v>0</v>
      </c>
      <c r="F4" s="44">
        <f>'Data Sheet'!G4</f>
        <v>4</v>
      </c>
      <c r="G4" s="44">
        <f>'Data Sheet'!H4</f>
        <v>4</v>
      </c>
      <c r="H4" s="44">
        <f>'Data Sheet'!I4</f>
        <v>0</v>
      </c>
      <c r="I4" s="44">
        <f>'Data Sheet'!J4</f>
        <v>0</v>
      </c>
      <c r="J4" s="44">
        <f>'Data Sheet'!K4</f>
        <v>0</v>
      </c>
      <c r="K4" s="44">
        <f>'Data Sheet'!L4</f>
        <v>0</v>
      </c>
      <c r="L4" s="44">
        <f>'Data Sheet'!M4</f>
        <v>0</v>
      </c>
      <c r="M4" s="5"/>
      <c r="N4" s="44">
        <f>'Data Sheet'!O4</f>
        <v>1</v>
      </c>
      <c r="O4" s="44">
        <f>'Data Sheet'!P4</f>
        <v>0</v>
      </c>
      <c r="P4" s="44">
        <f>'Data Sheet'!Q4</f>
        <v>0</v>
      </c>
      <c r="Q4" s="44">
        <f>'Data Sheet'!R4</f>
        <v>-1</v>
      </c>
      <c r="R4" s="44">
        <f>'Data Sheet'!S4</f>
        <v>0</v>
      </c>
      <c r="S4" s="44">
        <f>'Data Sheet'!T4</f>
        <v>0</v>
      </c>
      <c r="T4" s="44">
        <f>'Data Sheet'!U4</f>
        <v>0</v>
      </c>
      <c r="U4" s="44">
        <f>'Data Sheet'!V4</f>
        <v>0</v>
      </c>
      <c r="V4" s="5"/>
      <c r="W4" s="16" t="str">
        <f t="shared" ref="W4:W67" si="1">IF(I4=1,"IEP",IF(J4=1,"GIEP",""))</f>
        <v/>
      </c>
      <c r="X4" s="7">
        <v>1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9">
        <v>0</v>
      </c>
      <c r="AG4" s="45">
        <f>SUM(X4:AE4)</f>
        <v>1</v>
      </c>
      <c r="AH4" s="45">
        <f t="shared" ref="AH4:AH67" si="2">IF(A4="",0,1)</f>
        <v>1</v>
      </c>
      <c r="AI4" s="45">
        <f>SUMIF($X$3:$AE$3,W4,X4:AE4)</f>
        <v>0</v>
      </c>
      <c r="AJ4" s="45">
        <f>IF(OR(W4="IEP",W4="GIEP"),1,0)</f>
        <v>0</v>
      </c>
      <c r="AK4" s="45">
        <f t="shared" ref="AK4:AK67" si="3">SUMPRODUCT(X4:AE4,N4:U4)</f>
        <v>1</v>
      </c>
      <c r="AL4" s="1">
        <f>MAX(N4:U4)</f>
        <v>1</v>
      </c>
      <c r="AM4" s="1">
        <f>IF(AL4&gt;AK4,1,0)</f>
        <v>0</v>
      </c>
      <c r="AO4" s="45">
        <f>SUMIF(N4:U4,1,X4:AE4)</f>
        <v>1</v>
      </c>
      <c r="AP4" s="45">
        <f>IF(SUMIF(N4:U4,1)&gt;0,1,0)</f>
        <v>1</v>
      </c>
      <c r="AQ4" s="45">
        <f>SUMIF(N4:U4,-1,X4:AE4)</f>
        <v>0</v>
      </c>
    </row>
    <row r="5" spans="1:470" ht="15" thickTop="1" thickBot="1" x14ac:dyDescent="0.5">
      <c r="A5" s="68" t="str">
        <f>IF(ISTEXT('Data Sheet'!B5),'Data Sheet'!B5&amp;" "&amp;'Data Sheet'!A5,"")</f>
        <v>PETROVA HINSHAW</v>
      </c>
      <c r="B5" s="70">
        <f>'Data Sheet'!C5</f>
        <v>2</v>
      </c>
      <c r="C5" s="38"/>
      <c r="D5" s="44">
        <f>'Data Sheet'!E5</f>
        <v>0</v>
      </c>
      <c r="E5" s="44">
        <f>'Data Sheet'!F5</f>
        <v>0</v>
      </c>
      <c r="F5" s="44">
        <f>'Data Sheet'!G5</f>
        <v>4</v>
      </c>
      <c r="G5" s="44">
        <f>'Data Sheet'!H5</f>
        <v>4</v>
      </c>
      <c r="H5" s="44">
        <f>'Data Sheet'!I5</f>
        <v>0</v>
      </c>
      <c r="I5" s="44">
        <f>'Data Sheet'!J5</f>
        <v>0</v>
      </c>
      <c r="J5" s="44">
        <f>'Data Sheet'!K5</f>
        <v>0</v>
      </c>
      <c r="K5" s="44">
        <f>'Data Sheet'!L5</f>
        <v>0</v>
      </c>
      <c r="L5" s="44">
        <f>'Data Sheet'!M5</f>
        <v>0</v>
      </c>
      <c r="M5" s="5"/>
      <c r="N5" s="44">
        <f>'Data Sheet'!O5</f>
        <v>0</v>
      </c>
      <c r="O5" s="44">
        <f>'Data Sheet'!P5</f>
        <v>0</v>
      </c>
      <c r="P5" s="44">
        <f>'Data Sheet'!Q5</f>
        <v>0</v>
      </c>
      <c r="Q5" s="44">
        <f>'Data Sheet'!R5</f>
        <v>0</v>
      </c>
      <c r="R5" s="44">
        <f>'Data Sheet'!S5</f>
        <v>0</v>
      </c>
      <c r="S5" s="44">
        <f>'Data Sheet'!T5</f>
        <v>0</v>
      </c>
      <c r="T5" s="44">
        <f>'Data Sheet'!U5</f>
        <v>0</v>
      </c>
      <c r="U5" s="44">
        <f>'Data Sheet'!V5</f>
        <v>1</v>
      </c>
      <c r="V5" s="5"/>
      <c r="W5" s="16" t="str">
        <f t="shared" si="1"/>
        <v/>
      </c>
      <c r="X5" s="10">
        <v>0</v>
      </c>
      <c r="Y5" s="11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2">
        <v>1</v>
      </c>
      <c r="AG5" s="45">
        <f t="shared" ref="AG5:AG68" si="4">SUM(X5:AE5)</f>
        <v>1</v>
      </c>
      <c r="AH5" s="45">
        <f t="shared" si="2"/>
        <v>1</v>
      </c>
      <c r="AI5" s="45">
        <f t="shared" ref="AI5:AI68" si="5">SUMIF($X$3:$AE$3,W5,X5:AE5)</f>
        <v>0</v>
      </c>
      <c r="AJ5" s="45">
        <f t="shared" ref="AJ5:AJ68" si="6">IF(OR(W5="IEP",W5="GIEP"),1,0)</f>
        <v>0</v>
      </c>
      <c r="AK5" s="45">
        <f t="shared" si="3"/>
        <v>1</v>
      </c>
      <c r="AL5" s="1">
        <f t="shared" ref="AL5:AL68" si="7">MAX(N5:U5)</f>
        <v>1</v>
      </c>
      <c r="AM5" s="1">
        <f t="shared" ref="AM5:AM68" si="8">IF(AL5&gt;AK5,1,0)</f>
        <v>0</v>
      </c>
      <c r="AO5" s="45">
        <f t="shared" ref="AO5:AO68" si="9">SUMIF(N5:U5,1,X5:AE5)</f>
        <v>1</v>
      </c>
      <c r="AP5" s="45">
        <f t="shared" ref="AP5:AP68" si="10">IF(SUMIF(N5:U5,1)&gt;0,1,0)</f>
        <v>1</v>
      </c>
      <c r="AQ5" s="45">
        <f t="shared" ref="AQ5:AQ68" si="11">SUMIF(N5:U5,-1,X5:AE5)</f>
        <v>0</v>
      </c>
    </row>
    <row r="6" spans="1:470" ht="15" thickTop="1" thickBot="1" x14ac:dyDescent="0.5">
      <c r="A6" s="68" t="str">
        <f>IF(ISTEXT('Data Sheet'!B6),'Data Sheet'!B6&amp;" "&amp;'Data Sheet'!A6,"")</f>
        <v>WILLIAM CIABATTARI</v>
      </c>
      <c r="B6" s="70">
        <f>'Data Sheet'!C6</f>
        <v>3</v>
      </c>
      <c r="C6" s="38"/>
      <c r="D6" s="44">
        <f>'Data Sheet'!E6</f>
        <v>1</v>
      </c>
      <c r="E6" s="44">
        <f>'Data Sheet'!F6</f>
        <v>0</v>
      </c>
      <c r="F6" s="44">
        <f>'Data Sheet'!G6</f>
        <v>4</v>
      </c>
      <c r="G6" s="44">
        <f>'Data Sheet'!H6</f>
        <v>4</v>
      </c>
      <c r="H6" s="44">
        <f>'Data Sheet'!I6</f>
        <v>0</v>
      </c>
      <c r="I6" s="44">
        <f>'Data Sheet'!J6</f>
        <v>0</v>
      </c>
      <c r="J6" s="44">
        <f>'Data Sheet'!K6</f>
        <v>1</v>
      </c>
      <c r="K6" s="44">
        <f>'Data Sheet'!L6</f>
        <v>0</v>
      </c>
      <c r="L6" s="44">
        <f>'Data Sheet'!M6</f>
        <v>0</v>
      </c>
      <c r="M6" s="5"/>
      <c r="N6" s="44">
        <f>'Data Sheet'!O6</f>
        <v>0</v>
      </c>
      <c r="O6" s="44">
        <f>'Data Sheet'!P6</f>
        <v>0</v>
      </c>
      <c r="P6" s="44">
        <f>'Data Sheet'!Q6</f>
        <v>0</v>
      </c>
      <c r="Q6" s="44">
        <f>'Data Sheet'!R6</f>
        <v>0</v>
      </c>
      <c r="R6" s="44">
        <f>'Data Sheet'!S6</f>
        <v>0</v>
      </c>
      <c r="S6" s="44">
        <f>'Data Sheet'!T6</f>
        <v>0</v>
      </c>
      <c r="T6" s="44">
        <f>'Data Sheet'!U6</f>
        <v>0</v>
      </c>
      <c r="U6" s="44">
        <f>'Data Sheet'!V6</f>
        <v>1</v>
      </c>
      <c r="V6" s="5"/>
      <c r="W6" s="16" t="str">
        <f>IF(I6=1,"IEP",IF(J6=1,"GIEP",""))</f>
        <v>GIEP</v>
      </c>
      <c r="X6" s="10">
        <v>0</v>
      </c>
      <c r="Y6" s="11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2">
        <v>1</v>
      </c>
      <c r="AG6" s="45">
        <f t="shared" si="4"/>
        <v>1</v>
      </c>
      <c r="AH6" s="45">
        <f t="shared" si="2"/>
        <v>1</v>
      </c>
      <c r="AI6" s="45">
        <f t="shared" si="5"/>
        <v>1</v>
      </c>
      <c r="AJ6" s="45">
        <f t="shared" si="6"/>
        <v>1</v>
      </c>
      <c r="AK6" s="45">
        <f t="shared" si="3"/>
        <v>1</v>
      </c>
      <c r="AL6" s="1">
        <f t="shared" si="7"/>
        <v>1</v>
      </c>
      <c r="AM6" s="1">
        <f t="shared" si="8"/>
        <v>0</v>
      </c>
      <c r="AO6" s="45">
        <f t="shared" si="9"/>
        <v>1</v>
      </c>
      <c r="AP6" s="45">
        <f t="shared" si="10"/>
        <v>1</v>
      </c>
      <c r="AQ6" s="45">
        <f t="shared" si="11"/>
        <v>0</v>
      </c>
    </row>
    <row r="7" spans="1:470" ht="15" thickTop="1" thickBot="1" x14ac:dyDescent="0.5">
      <c r="A7" s="68" t="str">
        <f>IF(ISTEXT('Data Sheet'!B7),'Data Sheet'!B7&amp;" "&amp;'Data Sheet'!A7,"")</f>
        <v>FIONA MCGEHEAN</v>
      </c>
      <c r="B7" s="70">
        <f>'Data Sheet'!C7</f>
        <v>4</v>
      </c>
      <c r="C7" s="38"/>
      <c r="D7" s="44">
        <f>'Data Sheet'!E7</f>
        <v>1</v>
      </c>
      <c r="E7" s="44">
        <f>'Data Sheet'!F7</f>
        <v>0</v>
      </c>
      <c r="F7" s="44">
        <f>'Data Sheet'!G7</f>
        <v>4</v>
      </c>
      <c r="G7" s="44">
        <f>'Data Sheet'!H7</f>
        <v>4</v>
      </c>
      <c r="H7" s="44">
        <f>'Data Sheet'!I7</f>
        <v>0</v>
      </c>
      <c r="I7" s="44">
        <f>'Data Sheet'!J7</f>
        <v>0</v>
      </c>
      <c r="J7" s="44">
        <f>'Data Sheet'!K7</f>
        <v>0</v>
      </c>
      <c r="K7" s="44">
        <f>'Data Sheet'!L7</f>
        <v>0</v>
      </c>
      <c r="L7" s="44">
        <f>'Data Sheet'!M7</f>
        <v>0</v>
      </c>
      <c r="M7" s="5"/>
      <c r="N7" s="44">
        <f>'Data Sheet'!O7</f>
        <v>1</v>
      </c>
      <c r="O7" s="44">
        <f>'Data Sheet'!P7</f>
        <v>0</v>
      </c>
      <c r="P7" s="44">
        <f>'Data Sheet'!Q7</f>
        <v>0</v>
      </c>
      <c r="Q7" s="44">
        <f>'Data Sheet'!R7</f>
        <v>0</v>
      </c>
      <c r="R7" s="44">
        <f>'Data Sheet'!S7</f>
        <v>0</v>
      </c>
      <c r="S7" s="44">
        <f>'Data Sheet'!T7</f>
        <v>0</v>
      </c>
      <c r="T7" s="44">
        <f>'Data Sheet'!U7</f>
        <v>0</v>
      </c>
      <c r="U7" s="44">
        <f>'Data Sheet'!V7</f>
        <v>0</v>
      </c>
      <c r="V7" s="5"/>
      <c r="W7" s="16" t="str">
        <f t="shared" si="1"/>
        <v/>
      </c>
      <c r="X7" s="10">
        <v>1</v>
      </c>
      <c r="Y7" s="11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2">
        <v>0</v>
      </c>
      <c r="AG7" s="45">
        <f t="shared" si="4"/>
        <v>1</v>
      </c>
      <c r="AH7" s="45">
        <f t="shared" si="2"/>
        <v>1</v>
      </c>
      <c r="AI7" s="45">
        <f t="shared" si="5"/>
        <v>0</v>
      </c>
      <c r="AJ7" s="45">
        <f t="shared" si="6"/>
        <v>0</v>
      </c>
      <c r="AK7" s="45">
        <f t="shared" si="3"/>
        <v>1</v>
      </c>
      <c r="AL7" s="1">
        <f t="shared" si="7"/>
        <v>1</v>
      </c>
      <c r="AM7" s="1">
        <f t="shared" si="8"/>
        <v>0</v>
      </c>
      <c r="AO7" s="45">
        <f t="shared" si="9"/>
        <v>1</v>
      </c>
      <c r="AP7" s="45">
        <f t="shared" si="10"/>
        <v>1</v>
      </c>
      <c r="AQ7" s="45">
        <f t="shared" si="11"/>
        <v>0</v>
      </c>
    </row>
    <row r="8" spans="1:470" ht="15" thickTop="1" thickBot="1" x14ac:dyDescent="0.5">
      <c r="A8" s="68" t="str">
        <f>IF(ISTEXT('Data Sheet'!B8),'Data Sheet'!B8&amp;" "&amp;'Data Sheet'!A8,"")</f>
        <v>TAALI BUIE</v>
      </c>
      <c r="B8" s="70">
        <f>'Data Sheet'!C8</f>
        <v>5</v>
      </c>
      <c r="C8" s="38"/>
      <c r="D8" s="44">
        <f>'Data Sheet'!E8</f>
        <v>1</v>
      </c>
      <c r="E8" s="44">
        <f>'Data Sheet'!F8</f>
        <v>1</v>
      </c>
      <c r="F8" s="44">
        <f>'Data Sheet'!G8</f>
        <v>4</v>
      </c>
      <c r="G8" s="44">
        <f>'Data Sheet'!H8</f>
        <v>4</v>
      </c>
      <c r="H8" s="44">
        <f>'Data Sheet'!I8</f>
        <v>0</v>
      </c>
      <c r="I8" s="44">
        <f>'Data Sheet'!J8</f>
        <v>0</v>
      </c>
      <c r="J8" s="44">
        <f>'Data Sheet'!K8</f>
        <v>0</v>
      </c>
      <c r="K8" s="44">
        <f>'Data Sheet'!L8</f>
        <v>0</v>
      </c>
      <c r="L8" s="44">
        <f>'Data Sheet'!M8</f>
        <v>0</v>
      </c>
      <c r="M8" s="5"/>
      <c r="N8" s="44">
        <f>'Data Sheet'!O8</f>
        <v>0</v>
      </c>
      <c r="O8" s="44">
        <f>'Data Sheet'!P8</f>
        <v>0</v>
      </c>
      <c r="P8" s="44">
        <f>'Data Sheet'!Q8</f>
        <v>0</v>
      </c>
      <c r="Q8" s="44">
        <f>'Data Sheet'!R8</f>
        <v>0</v>
      </c>
      <c r="R8" s="44">
        <f>'Data Sheet'!S8</f>
        <v>0</v>
      </c>
      <c r="S8" s="44">
        <f>'Data Sheet'!T8</f>
        <v>0</v>
      </c>
      <c r="T8" s="44">
        <f>'Data Sheet'!U8</f>
        <v>0</v>
      </c>
      <c r="U8" s="44">
        <f>'Data Sheet'!V8</f>
        <v>0</v>
      </c>
      <c r="V8" s="5"/>
      <c r="W8" s="16" t="str">
        <f t="shared" si="1"/>
        <v/>
      </c>
      <c r="X8" s="10">
        <v>0</v>
      </c>
      <c r="Y8" s="11">
        <v>0</v>
      </c>
      <c r="Z8" s="11">
        <v>0</v>
      </c>
      <c r="AA8" s="11">
        <v>0</v>
      </c>
      <c r="AB8" s="11">
        <v>0</v>
      </c>
      <c r="AC8" s="11">
        <v>0</v>
      </c>
      <c r="AD8" s="11">
        <v>1</v>
      </c>
      <c r="AE8" s="12">
        <v>0</v>
      </c>
      <c r="AG8" s="45">
        <f t="shared" si="4"/>
        <v>1</v>
      </c>
      <c r="AH8" s="45">
        <f t="shared" si="2"/>
        <v>1</v>
      </c>
      <c r="AI8" s="45">
        <f t="shared" si="5"/>
        <v>0</v>
      </c>
      <c r="AJ8" s="45">
        <f t="shared" si="6"/>
        <v>0</v>
      </c>
      <c r="AK8" s="45">
        <f t="shared" si="3"/>
        <v>0</v>
      </c>
      <c r="AL8" s="1">
        <f t="shared" si="7"/>
        <v>0</v>
      </c>
      <c r="AM8" s="1">
        <f t="shared" si="8"/>
        <v>0</v>
      </c>
      <c r="AO8" s="45">
        <f t="shared" si="9"/>
        <v>0</v>
      </c>
      <c r="AP8" s="45">
        <f t="shared" si="10"/>
        <v>0</v>
      </c>
      <c r="AQ8" s="45">
        <f t="shared" si="11"/>
        <v>0</v>
      </c>
    </row>
    <row r="9" spans="1:470" ht="15" thickTop="1" thickBot="1" x14ac:dyDescent="0.5">
      <c r="A9" s="68" t="str">
        <f>IF(ISTEXT('Data Sheet'!B9),'Data Sheet'!B9&amp;" "&amp;'Data Sheet'!A9,"")</f>
        <v>ETHAN CHILSON</v>
      </c>
      <c r="B9" s="70">
        <f>'Data Sheet'!C9</f>
        <v>6</v>
      </c>
      <c r="C9" s="38"/>
      <c r="D9" s="44">
        <f>'Data Sheet'!E9</f>
        <v>1</v>
      </c>
      <c r="E9" s="44">
        <f>'Data Sheet'!F9</f>
        <v>0</v>
      </c>
      <c r="F9" s="44">
        <f>'Data Sheet'!G9</f>
        <v>4</v>
      </c>
      <c r="G9" s="44">
        <f>'Data Sheet'!H9</f>
        <v>4</v>
      </c>
      <c r="H9" s="44">
        <f>'Data Sheet'!I9</f>
        <v>0</v>
      </c>
      <c r="I9" s="44">
        <f>'Data Sheet'!J9</f>
        <v>0</v>
      </c>
      <c r="J9" s="44">
        <f>'Data Sheet'!K9</f>
        <v>0</v>
      </c>
      <c r="K9" s="44">
        <f>'Data Sheet'!L9</f>
        <v>0</v>
      </c>
      <c r="L9" s="44">
        <f>'Data Sheet'!M9</f>
        <v>0</v>
      </c>
      <c r="M9" s="5"/>
      <c r="N9" s="44">
        <f>'Data Sheet'!O9</f>
        <v>0</v>
      </c>
      <c r="O9" s="44">
        <f>'Data Sheet'!P9</f>
        <v>0</v>
      </c>
      <c r="P9" s="44">
        <f>'Data Sheet'!Q9</f>
        <v>0</v>
      </c>
      <c r="Q9" s="44">
        <f>'Data Sheet'!R9</f>
        <v>0</v>
      </c>
      <c r="R9" s="44">
        <f>'Data Sheet'!S9</f>
        <v>1</v>
      </c>
      <c r="S9" s="44">
        <f>'Data Sheet'!T9</f>
        <v>0</v>
      </c>
      <c r="T9" s="44">
        <f>'Data Sheet'!U9</f>
        <v>0</v>
      </c>
      <c r="U9" s="44">
        <f>'Data Sheet'!V9</f>
        <v>0</v>
      </c>
      <c r="V9" s="5"/>
      <c r="W9" s="16" t="str">
        <f t="shared" si="1"/>
        <v/>
      </c>
      <c r="X9" s="10">
        <v>0</v>
      </c>
      <c r="Y9" s="11">
        <v>0</v>
      </c>
      <c r="Z9" s="11">
        <v>0</v>
      </c>
      <c r="AA9" s="11">
        <v>0</v>
      </c>
      <c r="AB9" s="11">
        <v>1</v>
      </c>
      <c r="AC9" s="11">
        <v>0</v>
      </c>
      <c r="AD9" s="11">
        <v>0</v>
      </c>
      <c r="AE9" s="12">
        <v>0</v>
      </c>
      <c r="AG9" s="45">
        <f t="shared" si="4"/>
        <v>1</v>
      </c>
      <c r="AH9" s="45">
        <f t="shared" si="2"/>
        <v>1</v>
      </c>
      <c r="AI9" s="45">
        <f t="shared" si="5"/>
        <v>0</v>
      </c>
      <c r="AJ9" s="45">
        <f t="shared" si="6"/>
        <v>0</v>
      </c>
      <c r="AK9" s="45">
        <f t="shared" si="3"/>
        <v>1</v>
      </c>
      <c r="AL9" s="1">
        <f t="shared" si="7"/>
        <v>1</v>
      </c>
      <c r="AM9" s="1">
        <f t="shared" si="8"/>
        <v>0</v>
      </c>
      <c r="AO9" s="45">
        <f t="shared" si="9"/>
        <v>1</v>
      </c>
      <c r="AP9" s="45">
        <f t="shared" si="10"/>
        <v>1</v>
      </c>
      <c r="AQ9" s="45">
        <f t="shared" si="11"/>
        <v>0</v>
      </c>
    </row>
    <row r="10" spans="1:470" ht="15" thickTop="1" thickBot="1" x14ac:dyDescent="0.5">
      <c r="A10" s="68" t="str">
        <f>IF(ISTEXT('Data Sheet'!B10),'Data Sheet'!B10&amp;" "&amp;'Data Sheet'!A10,"")</f>
        <v>KYE DIAKITE</v>
      </c>
      <c r="B10" s="70">
        <f>'Data Sheet'!C10</f>
        <v>7</v>
      </c>
      <c r="C10" s="38"/>
      <c r="D10" s="44">
        <f>'Data Sheet'!E10</f>
        <v>1</v>
      </c>
      <c r="E10" s="44">
        <f>'Data Sheet'!F10</f>
        <v>1</v>
      </c>
      <c r="F10" s="44">
        <f>'Data Sheet'!G10</f>
        <v>4</v>
      </c>
      <c r="G10" s="44">
        <f>'Data Sheet'!H10</f>
        <v>4</v>
      </c>
      <c r="H10" s="44">
        <f>'Data Sheet'!I10</f>
        <v>0</v>
      </c>
      <c r="I10" s="44">
        <f>'Data Sheet'!J10</f>
        <v>0</v>
      </c>
      <c r="J10" s="44">
        <f>'Data Sheet'!K10</f>
        <v>0</v>
      </c>
      <c r="K10" s="44">
        <f>'Data Sheet'!L10</f>
        <v>0</v>
      </c>
      <c r="L10" s="44">
        <f>'Data Sheet'!M10</f>
        <v>0</v>
      </c>
      <c r="M10" s="5"/>
      <c r="N10" s="44">
        <f>'Data Sheet'!O10</f>
        <v>0</v>
      </c>
      <c r="O10" s="44">
        <f>'Data Sheet'!P10</f>
        <v>0</v>
      </c>
      <c r="P10" s="44">
        <f>'Data Sheet'!Q10</f>
        <v>0</v>
      </c>
      <c r="Q10" s="44">
        <f>'Data Sheet'!R10</f>
        <v>-1</v>
      </c>
      <c r="R10" s="44">
        <f>'Data Sheet'!S10</f>
        <v>0</v>
      </c>
      <c r="S10" s="44">
        <f>'Data Sheet'!T10</f>
        <v>0</v>
      </c>
      <c r="T10" s="44">
        <f>'Data Sheet'!U10</f>
        <v>0</v>
      </c>
      <c r="U10" s="44">
        <f>'Data Sheet'!V10</f>
        <v>0</v>
      </c>
      <c r="V10" s="5"/>
      <c r="W10" s="16" t="str">
        <f t="shared" si="1"/>
        <v/>
      </c>
      <c r="X10" s="10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1</v>
      </c>
      <c r="AE10" s="12">
        <v>0</v>
      </c>
      <c r="AG10" s="45">
        <f t="shared" si="4"/>
        <v>1</v>
      </c>
      <c r="AH10" s="45">
        <f t="shared" si="2"/>
        <v>1</v>
      </c>
      <c r="AI10" s="45">
        <f t="shared" si="5"/>
        <v>0</v>
      </c>
      <c r="AJ10" s="45">
        <f t="shared" si="6"/>
        <v>0</v>
      </c>
      <c r="AK10" s="45">
        <f t="shared" si="3"/>
        <v>0</v>
      </c>
      <c r="AL10" s="1">
        <f t="shared" si="7"/>
        <v>0</v>
      </c>
      <c r="AM10" s="1">
        <f t="shared" si="8"/>
        <v>0</v>
      </c>
      <c r="AO10" s="45">
        <f t="shared" si="9"/>
        <v>0</v>
      </c>
      <c r="AP10" s="45">
        <f t="shared" si="10"/>
        <v>0</v>
      </c>
      <c r="AQ10" s="45">
        <f t="shared" si="11"/>
        <v>0</v>
      </c>
    </row>
    <row r="11" spans="1:470" ht="15" thickTop="1" thickBot="1" x14ac:dyDescent="0.5">
      <c r="A11" s="68" t="str">
        <f>IF(ISTEXT('Data Sheet'!B11),'Data Sheet'!B11&amp;" "&amp;'Data Sheet'!A11,"")</f>
        <v>KARLEE MCNAUGHTON</v>
      </c>
      <c r="B11" s="70">
        <f>'Data Sheet'!C11</f>
        <v>8</v>
      </c>
      <c r="C11" s="38"/>
      <c r="D11" s="44">
        <f>'Data Sheet'!E11</f>
        <v>0</v>
      </c>
      <c r="E11" s="44">
        <f>'Data Sheet'!F11</f>
        <v>0</v>
      </c>
      <c r="F11" s="44">
        <f>'Data Sheet'!G11</f>
        <v>4</v>
      </c>
      <c r="G11" s="44">
        <f>'Data Sheet'!H11</f>
        <v>4</v>
      </c>
      <c r="H11" s="44">
        <f>'Data Sheet'!I11</f>
        <v>0</v>
      </c>
      <c r="I11" s="44">
        <f>'Data Sheet'!J11</f>
        <v>0</v>
      </c>
      <c r="J11" s="44">
        <f>'Data Sheet'!K11</f>
        <v>0</v>
      </c>
      <c r="K11" s="44">
        <f>'Data Sheet'!L11</f>
        <v>0</v>
      </c>
      <c r="L11" s="44">
        <f>'Data Sheet'!M11</f>
        <v>0</v>
      </c>
      <c r="M11" s="5"/>
      <c r="N11" s="44">
        <f>'Data Sheet'!O11</f>
        <v>0</v>
      </c>
      <c r="O11" s="44">
        <f>'Data Sheet'!P11</f>
        <v>0</v>
      </c>
      <c r="P11" s="44">
        <f>'Data Sheet'!Q11</f>
        <v>0</v>
      </c>
      <c r="Q11" s="44">
        <f>'Data Sheet'!R11</f>
        <v>0</v>
      </c>
      <c r="R11" s="44">
        <f>'Data Sheet'!S11</f>
        <v>0</v>
      </c>
      <c r="S11" s="44">
        <f>'Data Sheet'!T11</f>
        <v>0</v>
      </c>
      <c r="T11" s="44">
        <f>'Data Sheet'!U11</f>
        <v>0</v>
      </c>
      <c r="U11" s="44">
        <f>'Data Sheet'!V11</f>
        <v>0</v>
      </c>
      <c r="V11" s="5"/>
      <c r="W11" s="16" t="str">
        <f t="shared" si="1"/>
        <v/>
      </c>
      <c r="X11" s="10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1</v>
      </c>
      <c r="AE11" s="12">
        <v>0</v>
      </c>
      <c r="AG11" s="45">
        <f t="shared" si="4"/>
        <v>1</v>
      </c>
      <c r="AH11" s="45">
        <f t="shared" si="2"/>
        <v>1</v>
      </c>
      <c r="AI11" s="45">
        <f t="shared" si="5"/>
        <v>0</v>
      </c>
      <c r="AJ11" s="45">
        <f t="shared" si="6"/>
        <v>0</v>
      </c>
      <c r="AK11" s="45">
        <f t="shared" si="3"/>
        <v>0</v>
      </c>
      <c r="AL11" s="1">
        <f t="shared" si="7"/>
        <v>0</v>
      </c>
      <c r="AM11" s="1">
        <f t="shared" si="8"/>
        <v>0</v>
      </c>
      <c r="AO11" s="45">
        <f t="shared" si="9"/>
        <v>0</v>
      </c>
      <c r="AP11" s="45">
        <f t="shared" si="10"/>
        <v>0</v>
      </c>
      <c r="AQ11" s="45">
        <f t="shared" si="11"/>
        <v>0</v>
      </c>
    </row>
    <row r="12" spans="1:470" ht="15" thickTop="1" thickBot="1" x14ac:dyDescent="0.5">
      <c r="A12" s="68" t="str">
        <f>IF(ISTEXT('Data Sheet'!B12),'Data Sheet'!B12&amp;" "&amp;'Data Sheet'!A12,"")</f>
        <v>LEONARDO CALLE</v>
      </c>
      <c r="B12" s="70">
        <f>'Data Sheet'!C12</f>
        <v>9</v>
      </c>
      <c r="C12" s="38"/>
      <c r="D12" s="44">
        <f>'Data Sheet'!E12</f>
        <v>1</v>
      </c>
      <c r="E12" s="44">
        <f>'Data Sheet'!F12</f>
        <v>0</v>
      </c>
      <c r="F12" s="44">
        <f>'Data Sheet'!G12</f>
        <v>4</v>
      </c>
      <c r="G12" s="44">
        <f>'Data Sheet'!H12</f>
        <v>4</v>
      </c>
      <c r="H12" s="44">
        <f>'Data Sheet'!I12</f>
        <v>0</v>
      </c>
      <c r="I12" s="44">
        <f>'Data Sheet'!J12</f>
        <v>0</v>
      </c>
      <c r="J12" s="44">
        <f>'Data Sheet'!K12</f>
        <v>0</v>
      </c>
      <c r="K12" s="44">
        <f>'Data Sheet'!L12</f>
        <v>0</v>
      </c>
      <c r="L12" s="44">
        <f>'Data Sheet'!M12</f>
        <v>0</v>
      </c>
      <c r="M12" s="5"/>
      <c r="N12" s="44">
        <f>'Data Sheet'!O12</f>
        <v>0</v>
      </c>
      <c r="O12" s="44">
        <f>'Data Sheet'!P12</f>
        <v>0</v>
      </c>
      <c r="P12" s="44">
        <f>'Data Sheet'!Q12</f>
        <v>0</v>
      </c>
      <c r="Q12" s="44">
        <f>'Data Sheet'!R12</f>
        <v>0</v>
      </c>
      <c r="R12" s="44">
        <f>'Data Sheet'!S12</f>
        <v>0</v>
      </c>
      <c r="S12" s="44">
        <f>'Data Sheet'!T12</f>
        <v>0</v>
      </c>
      <c r="T12" s="44">
        <f>'Data Sheet'!U12</f>
        <v>0</v>
      </c>
      <c r="U12" s="44">
        <f>'Data Sheet'!V12</f>
        <v>0</v>
      </c>
      <c r="V12" s="5"/>
      <c r="W12" s="16" t="str">
        <f t="shared" si="1"/>
        <v/>
      </c>
      <c r="X12" s="10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1</v>
      </c>
      <c r="AD12" s="11">
        <v>0</v>
      </c>
      <c r="AE12" s="12">
        <v>0</v>
      </c>
      <c r="AG12" s="45">
        <f t="shared" si="4"/>
        <v>1</v>
      </c>
      <c r="AH12" s="45">
        <f t="shared" si="2"/>
        <v>1</v>
      </c>
      <c r="AI12" s="45">
        <f t="shared" si="5"/>
        <v>0</v>
      </c>
      <c r="AJ12" s="45">
        <f t="shared" si="6"/>
        <v>0</v>
      </c>
      <c r="AK12" s="45">
        <f t="shared" si="3"/>
        <v>0</v>
      </c>
      <c r="AL12" s="1">
        <f t="shared" si="7"/>
        <v>0</v>
      </c>
      <c r="AM12" s="1">
        <f t="shared" si="8"/>
        <v>0</v>
      </c>
      <c r="AO12" s="45">
        <f t="shared" si="9"/>
        <v>0</v>
      </c>
      <c r="AP12" s="45">
        <f t="shared" si="10"/>
        <v>0</v>
      </c>
      <c r="AQ12" s="45">
        <f t="shared" si="11"/>
        <v>0</v>
      </c>
    </row>
    <row r="13" spans="1:470" ht="15" thickTop="1" thickBot="1" x14ac:dyDescent="0.5">
      <c r="A13" s="68" t="str">
        <f>IF(ISTEXT('Data Sheet'!B13),'Data Sheet'!B13&amp;" "&amp;'Data Sheet'!A13,"")</f>
        <v>STEVEN SPIVEY</v>
      </c>
      <c r="B13" s="70">
        <f>'Data Sheet'!C13</f>
        <v>10</v>
      </c>
      <c r="C13" s="38"/>
      <c r="D13" s="44">
        <f>'Data Sheet'!E13</f>
        <v>1</v>
      </c>
      <c r="E13" s="44">
        <f>'Data Sheet'!F13</f>
        <v>1</v>
      </c>
      <c r="F13" s="44">
        <f>'Data Sheet'!G13</f>
        <v>4</v>
      </c>
      <c r="G13" s="44">
        <f>'Data Sheet'!H13</f>
        <v>3</v>
      </c>
      <c r="H13" s="44">
        <f>'Data Sheet'!I13</f>
        <v>0</v>
      </c>
      <c r="I13" s="44">
        <f>'Data Sheet'!J13</f>
        <v>0</v>
      </c>
      <c r="J13" s="44">
        <f>'Data Sheet'!K13</f>
        <v>0</v>
      </c>
      <c r="K13" s="44">
        <f>'Data Sheet'!L13</f>
        <v>0</v>
      </c>
      <c r="L13" s="44">
        <f>'Data Sheet'!M13</f>
        <v>0</v>
      </c>
      <c r="M13" s="5"/>
      <c r="N13" s="44">
        <f>'Data Sheet'!O13</f>
        <v>0</v>
      </c>
      <c r="O13" s="44">
        <f>'Data Sheet'!P13</f>
        <v>0</v>
      </c>
      <c r="P13" s="44">
        <f>'Data Sheet'!Q13</f>
        <v>0</v>
      </c>
      <c r="Q13" s="44">
        <f>'Data Sheet'!R13</f>
        <v>0</v>
      </c>
      <c r="R13" s="44">
        <f>'Data Sheet'!S13</f>
        <v>0</v>
      </c>
      <c r="S13" s="44">
        <f>'Data Sheet'!T13</f>
        <v>0</v>
      </c>
      <c r="T13" s="44">
        <f>'Data Sheet'!U13</f>
        <v>0</v>
      </c>
      <c r="U13" s="44">
        <f>'Data Sheet'!V13</f>
        <v>0</v>
      </c>
      <c r="V13" s="5"/>
      <c r="W13" s="16" t="str">
        <f t="shared" si="1"/>
        <v/>
      </c>
      <c r="X13" s="10">
        <v>0</v>
      </c>
      <c r="Y13" s="11">
        <v>0</v>
      </c>
      <c r="Z13" s="11">
        <v>0</v>
      </c>
      <c r="AA13" s="11">
        <v>1</v>
      </c>
      <c r="AB13" s="11">
        <v>0</v>
      </c>
      <c r="AC13" s="11">
        <v>0</v>
      </c>
      <c r="AD13" s="11">
        <v>0</v>
      </c>
      <c r="AE13" s="12">
        <v>0</v>
      </c>
      <c r="AG13" s="45">
        <f t="shared" si="4"/>
        <v>1</v>
      </c>
      <c r="AH13" s="45">
        <f t="shared" si="2"/>
        <v>1</v>
      </c>
      <c r="AI13" s="45">
        <f>SUMIF($X$3:$AE$3,W13,X13:AE13)</f>
        <v>0</v>
      </c>
      <c r="AJ13" s="45">
        <f t="shared" si="6"/>
        <v>0</v>
      </c>
      <c r="AK13" s="45">
        <f t="shared" si="3"/>
        <v>0</v>
      </c>
      <c r="AL13" s="1">
        <f t="shared" si="7"/>
        <v>0</v>
      </c>
      <c r="AM13" s="1">
        <f t="shared" si="8"/>
        <v>0</v>
      </c>
      <c r="AO13" s="45">
        <f t="shared" si="9"/>
        <v>0</v>
      </c>
      <c r="AP13" s="45">
        <f t="shared" si="10"/>
        <v>0</v>
      </c>
      <c r="AQ13" s="45">
        <f t="shared" si="11"/>
        <v>0</v>
      </c>
    </row>
    <row r="14" spans="1:470" ht="15" thickTop="1" thickBot="1" x14ac:dyDescent="0.5">
      <c r="A14" s="68" t="str">
        <f>IF(ISTEXT('Data Sheet'!B14),'Data Sheet'!B14&amp;" "&amp;'Data Sheet'!A14,"")</f>
        <v>CONNOR ZDUN</v>
      </c>
      <c r="B14" s="70">
        <f>'Data Sheet'!C14</f>
        <v>11</v>
      </c>
      <c r="C14" s="38"/>
      <c r="D14" s="44">
        <f>'Data Sheet'!E14</f>
        <v>1</v>
      </c>
      <c r="E14" s="44">
        <f>'Data Sheet'!F14</f>
        <v>0</v>
      </c>
      <c r="F14" s="44">
        <f>'Data Sheet'!G14</f>
        <v>4</v>
      </c>
      <c r="G14" s="44">
        <f>'Data Sheet'!H14</f>
        <v>4</v>
      </c>
      <c r="H14" s="44">
        <f>'Data Sheet'!I14</f>
        <v>0</v>
      </c>
      <c r="I14" s="44">
        <f>'Data Sheet'!J14</f>
        <v>0</v>
      </c>
      <c r="J14" s="44">
        <f>'Data Sheet'!K14</f>
        <v>0</v>
      </c>
      <c r="K14" s="44">
        <f>'Data Sheet'!L14</f>
        <v>0</v>
      </c>
      <c r="L14" s="44">
        <f>'Data Sheet'!M14</f>
        <v>0</v>
      </c>
      <c r="M14" s="5"/>
      <c r="N14" s="44">
        <f>'Data Sheet'!O14</f>
        <v>0</v>
      </c>
      <c r="O14" s="44">
        <f>'Data Sheet'!P14</f>
        <v>0</v>
      </c>
      <c r="P14" s="44">
        <f>'Data Sheet'!Q14</f>
        <v>0</v>
      </c>
      <c r="Q14" s="44">
        <f>'Data Sheet'!R14</f>
        <v>0</v>
      </c>
      <c r="R14" s="44">
        <f>'Data Sheet'!S14</f>
        <v>0</v>
      </c>
      <c r="S14" s="44">
        <f>'Data Sheet'!T14</f>
        <v>0</v>
      </c>
      <c r="T14" s="44">
        <f>'Data Sheet'!U14</f>
        <v>0</v>
      </c>
      <c r="U14" s="44">
        <f>'Data Sheet'!V14</f>
        <v>0</v>
      </c>
      <c r="V14" s="5"/>
      <c r="W14" s="16" t="str">
        <f t="shared" si="1"/>
        <v/>
      </c>
      <c r="X14" s="10">
        <v>0</v>
      </c>
      <c r="Y14" s="11">
        <v>0</v>
      </c>
      <c r="Z14" s="11">
        <v>0</v>
      </c>
      <c r="AA14" s="11">
        <v>1</v>
      </c>
      <c r="AB14" s="11">
        <v>0</v>
      </c>
      <c r="AC14" s="11">
        <v>0</v>
      </c>
      <c r="AD14" s="11">
        <v>0</v>
      </c>
      <c r="AE14" s="12">
        <v>0</v>
      </c>
      <c r="AG14" s="45">
        <f t="shared" si="4"/>
        <v>1</v>
      </c>
      <c r="AH14" s="45">
        <f t="shared" si="2"/>
        <v>1</v>
      </c>
      <c r="AI14" s="45">
        <f t="shared" si="5"/>
        <v>0</v>
      </c>
      <c r="AJ14" s="45">
        <f t="shared" si="6"/>
        <v>0</v>
      </c>
      <c r="AK14" s="45">
        <f t="shared" si="3"/>
        <v>0</v>
      </c>
      <c r="AL14" s="1">
        <f t="shared" si="7"/>
        <v>0</v>
      </c>
      <c r="AM14" s="1">
        <f t="shared" si="8"/>
        <v>0</v>
      </c>
      <c r="AO14" s="45">
        <f t="shared" si="9"/>
        <v>0</v>
      </c>
      <c r="AP14" s="45">
        <f t="shared" si="10"/>
        <v>0</v>
      </c>
      <c r="AQ14" s="45">
        <f t="shared" si="11"/>
        <v>0</v>
      </c>
    </row>
    <row r="15" spans="1:470" ht="15" thickTop="1" thickBot="1" x14ac:dyDescent="0.5">
      <c r="A15" s="68" t="str">
        <f>IF(ISTEXT('Data Sheet'!B15),'Data Sheet'!B15&amp;" "&amp;'Data Sheet'!A15,"")</f>
        <v>MADELYNN RINKER</v>
      </c>
      <c r="B15" s="70">
        <f>'Data Sheet'!C15</f>
        <v>12</v>
      </c>
      <c r="C15" s="38"/>
      <c r="D15" s="44">
        <f>'Data Sheet'!E15</f>
        <v>0</v>
      </c>
      <c r="E15" s="44">
        <f>'Data Sheet'!F15</f>
        <v>0</v>
      </c>
      <c r="F15" s="44">
        <f>'Data Sheet'!G15</f>
        <v>4</v>
      </c>
      <c r="G15" s="44">
        <f>'Data Sheet'!H15</f>
        <v>4</v>
      </c>
      <c r="H15" s="44">
        <f>'Data Sheet'!I15</f>
        <v>0</v>
      </c>
      <c r="I15" s="44">
        <f>'Data Sheet'!J15</f>
        <v>0</v>
      </c>
      <c r="J15" s="44">
        <f>'Data Sheet'!K15</f>
        <v>0</v>
      </c>
      <c r="K15" s="44">
        <f>'Data Sheet'!L15</f>
        <v>0</v>
      </c>
      <c r="L15" s="44">
        <f>'Data Sheet'!M15</f>
        <v>0</v>
      </c>
      <c r="M15" s="5"/>
      <c r="N15" s="44">
        <f>'Data Sheet'!O15</f>
        <v>0</v>
      </c>
      <c r="O15" s="44">
        <f>'Data Sheet'!P15</f>
        <v>0</v>
      </c>
      <c r="P15" s="44">
        <f>'Data Sheet'!Q15</f>
        <v>0</v>
      </c>
      <c r="Q15" s="44">
        <f>'Data Sheet'!R15</f>
        <v>0</v>
      </c>
      <c r="R15" s="44">
        <f>'Data Sheet'!S15</f>
        <v>0</v>
      </c>
      <c r="S15" s="44">
        <f>'Data Sheet'!T15</f>
        <v>0</v>
      </c>
      <c r="T15" s="44">
        <f>'Data Sheet'!U15</f>
        <v>0</v>
      </c>
      <c r="U15" s="44">
        <f>'Data Sheet'!V15</f>
        <v>0</v>
      </c>
      <c r="V15" s="5"/>
      <c r="W15" s="16" t="str">
        <f t="shared" si="1"/>
        <v/>
      </c>
      <c r="X15" s="10">
        <v>0</v>
      </c>
      <c r="Y15" s="11">
        <v>0</v>
      </c>
      <c r="Z15" s="11">
        <v>0</v>
      </c>
      <c r="AA15" s="11">
        <v>0</v>
      </c>
      <c r="AB15" s="11">
        <v>1</v>
      </c>
      <c r="AC15" s="11">
        <v>0</v>
      </c>
      <c r="AD15" s="11">
        <v>0</v>
      </c>
      <c r="AE15" s="12">
        <v>0</v>
      </c>
      <c r="AG15" s="45">
        <f t="shared" si="4"/>
        <v>1</v>
      </c>
      <c r="AH15" s="45">
        <f t="shared" si="2"/>
        <v>1</v>
      </c>
      <c r="AI15" s="45">
        <f t="shared" si="5"/>
        <v>0</v>
      </c>
      <c r="AJ15" s="45">
        <f t="shared" si="6"/>
        <v>0</v>
      </c>
      <c r="AK15" s="45">
        <f t="shared" si="3"/>
        <v>0</v>
      </c>
      <c r="AL15" s="1">
        <f t="shared" si="7"/>
        <v>0</v>
      </c>
      <c r="AM15" s="1">
        <f t="shared" si="8"/>
        <v>0</v>
      </c>
      <c r="AO15" s="45">
        <f t="shared" si="9"/>
        <v>0</v>
      </c>
      <c r="AP15" s="45">
        <f t="shared" si="10"/>
        <v>0</v>
      </c>
      <c r="AQ15" s="45">
        <f t="shared" si="11"/>
        <v>0</v>
      </c>
    </row>
    <row r="16" spans="1:470" ht="15" thickTop="1" thickBot="1" x14ac:dyDescent="0.5">
      <c r="A16" s="68" t="str">
        <f>IF(ISTEXT('Data Sheet'!B16),'Data Sheet'!B16&amp;" "&amp;'Data Sheet'!A16,"")</f>
        <v>ALEXANDER BIDDLE</v>
      </c>
      <c r="B16" s="70">
        <f>'Data Sheet'!C16</f>
        <v>13</v>
      </c>
      <c r="C16" s="38"/>
      <c r="D16" s="44">
        <f>'Data Sheet'!E16</f>
        <v>1</v>
      </c>
      <c r="E16" s="44">
        <f>'Data Sheet'!F16</f>
        <v>0</v>
      </c>
      <c r="F16" s="44">
        <f>'Data Sheet'!G16</f>
        <v>3</v>
      </c>
      <c r="G16" s="44">
        <f>'Data Sheet'!H16</f>
        <v>4</v>
      </c>
      <c r="H16" s="44">
        <f>'Data Sheet'!I16</f>
        <v>0</v>
      </c>
      <c r="I16" s="44">
        <f>'Data Sheet'!J16</f>
        <v>0</v>
      </c>
      <c r="J16" s="44">
        <f>'Data Sheet'!K16</f>
        <v>0</v>
      </c>
      <c r="K16" s="44">
        <f>'Data Sheet'!L16</f>
        <v>0</v>
      </c>
      <c r="L16" s="44">
        <f>'Data Sheet'!M16</f>
        <v>0</v>
      </c>
      <c r="M16" s="5"/>
      <c r="N16" s="44">
        <f>'Data Sheet'!O16</f>
        <v>0</v>
      </c>
      <c r="O16" s="44">
        <f>'Data Sheet'!P16</f>
        <v>0</v>
      </c>
      <c r="P16" s="44">
        <f>'Data Sheet'!Q16</f>
        <v>0</v>
      </c>
      <c r="Q16" s="44">
        <f>'Data Sheet'!R16</f>
        <v>0</v>
      </c>
      <c r="R16" s="44">
        <f>'Data Sheet'!S16</f>
        <v>0</v>
      </c>
      <c r="S16" s="44">
        <f>'Data Sheet'!T16</f>
        <v>1</v>
      </c>
      <c r="T16" s="44">
        <f>'Data Sheet'!U16</f>
        <v>0</v>
      </c>
      <c r="U16" s="44">
        <f>'Data Sheet'!V16</f>
        <v>0</v>
      </c>
      <c r="V16" s="5"/>
      <c r="W16" s="16" t="str">
        <f t="shared" si="1"/>
        <v/>
      </c>
      <c r="X16" s="10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1</v>
      </c>
      <c r="AD16" s="11">
        <v>0</v>
      </c>
      <c r="AE16" s="12">
        <v>0</v>
      </c>
      <c r="AG16" s="45">
        <f t="shared" si="4"/>
        <v>1</v>
      </c>
      <c r="AH16" s="45">
        <f t="shared" si="2"/>
        <v>1</v>
      </c>
      <c r="AI16" s="45">
        <f t="shared" si="5"/>
        <v>0</v>
      </c>
      <c r="AJ16" s="45">
        <f t="shared" si="6"/>
        <v>0</v>
      </c>
      <c r="AK16" s="45">
        <f t="shared" si="3"/>
        <v>1</v>
      </c>
      <c r="AL16" s="1">
        <f t="shared" si="7"/>
        <v>1</v>
      </c>
      <c r="AM16" s="1">
        <f t="shared" si="8"/>
        <v>0</v>
      </c>
      <c r="AO16" s="45">
        <f t="shared" si="9"/>
        <v>1</v>
      </c>
      <c r="AP16" s="45">
        <f t="shared" si="10"/>
        <v>1</v>
      </c>
      <c r="AQ16" s="45">
        <f t="shared" si="11"/>
        <v>0</v>
      </c>
    </row>
    <row r="17" spans="1:43" ht="15" thickTop="1" thickBot="1" x14ac:dyDescent="0.5">
      <c r="A17" s="68" t="str">
        <f>IF(ISTEXT('Data Sheet'!B17),'Data Sheet'!B17&amp;" "&amp;'Data Sheet'!A17,"")</f>
        <v>DYLANA RICHARDS</v>
      </c>
      <c r="B17" s="70">
        <f>'Data Sheet'!C17</f>
        <v>14</v>
      </c>
      <c r="C17" s="38"/>
      <c r="D17" s="44">
        <f>'Data Sheet'!E17</f>
        <v>0</v>
      </c>
      <c r="E17" s="44">
        <f>'Data Sheet'!F17</f>
        <v>0</v>
      </c>
      <c r="F17" s="44">
        <f>'Data Sheet'!G17</f>
        <v>4</v>
      </c>
      <c r="G17" s="44">
        <f>'Data Sheet'!H17</f>
        <v>4</v>
      </c>
      <c r="H17" s="44">
        <f>'Data Sheet'!I17</f>
        <v>0</v>
      </c>
      <c r="I17" s="44">
        <f>'Data Sheet'!J17</f>
        <v>0</v>
      </c>
      <c r="J17" s="44">
        <f>'Data Sheet'!K17</f>
        <v>0</v>
      </c>
      <c r="K17" s="44">
        <f>'Data Sheet'!L17</f>
        <v>0</v>
      </c>
      <c r="L17" s="44">
        <f>'Data Sheet'!M17</f>
        <v>0</v>
      </c>
      <c r="M17" s="5"/>
      <c r="N17" s="44">
        <f>'Data Sheet'!O17</f>
        <v>1</v>
      </c>
      <c r="O17" s="44">
        <f>'Data Sheet'!P17</f>
        <v>0</v>
      </c>
      <c r="P17" s="44">
        <f>'Data Sheet'!Q17</f>
        <v>0</v>
      </c>
      <c r="Q17" s="44">
        <f>'Data Sheet'!R17</f>
        <v>0</v>
      </c>
      <c r="R17" s="44">
        <f>'Data Sheet'!S17</f>
        <v>0</v>
      </c>
      <c r="S17" s="44">
        <f>'Data Sheet'!T17</f>
        <v>0</v>
      </c>
      <c r="T17" s="44">
        <f>'Data Sheet'!U17</f>
        <v>0</v>
      </c>
      <c r="U17" s="44">
        <f>'Data Sheet'!V17</f>
        <v>0</v>
      </c>
      <c r="V17" s="5"/>
      <c r="W17" s="16" t="str">
        <f t="shared" si="1"/>
        <v/>
      </c>
      <c r="X17" s="10">
        <v>1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2">
        <v>0</v>
      </c>
      <c r="AG17" s="45">
        <f t="shared" si="4"/>
        <v>1</v>
      </c>
      <c r="AH17" s="45">
        <f t="shared" si="2"/>
        <v>1</v>
      </c>
      <c r="AI17" s="45">
        <f t="shared" si="5"/>
        <v>0</v>
      </c>
      <c r="AJ17" s="45">
        <f t="shared" si="6"/>
        <v>0</v>
      </c>
      <c r="AK17" s="45">
        <f t="shared" si="3"/>
        <v>1</v>
      </c>
      <c r="AL17" s="1">
        <f t="shared" si="7"/>
        <v>1</v>
      </c>
      <c r="AM17" s="1">
        <f t="shared" si="8"/>
        <v>0</v>
      </c>
      <c r="AO17" s="45">
        <f t="shared" si="9"/>
        <v>1</v>
      </c>
      <c r="AP17" s="45">
        <f t="shared" si="10"/>
        <v>1</v>
      </c>
      <c r="AQ17" s="45">
        <f t="shared" si="11"/>
        <v>0</v>
      </c>
    </row>
    <row r="18" spans="1:43" ht="15" thickTop="1" thickBot="1" x14ac:dyDescent="0.5">
      <c r="A18" s="68" t="str">
        <f>IF(ISTEXT('Data Sheet'!B18),'Data Sheet'!B18&amp;" "&amp;'Data Sheet'!A18,"")</f>
        <v>DOMINIC SCARFO</v>
      </c>
      <c r="B18" s="70">
        <f>'Data Sheet'!C18</f>
        <v>15</v>
      </c>
      <c r="C18" s="38"/>
      <c r="D18" s="44">
        <f>'Data Sheet'!E18</f>
        <v>1</v>
      </c>
      <c r="E18" s="44">
        <f>'Data Sheet'!F18</f>
        <v>0</v>
      </c>
      <c r="F18" s="44">
        <f>'Data Sheet'!G18</f>
        <v>4</v>
      </c>
      <c r="G18" s="44">
        <f>'Data Sheet'!H18</f>
        <v>4</v>
      </c>
      <c r="H18" s="44">
        <f>'Data Sheet'!I18</f>
        <v>0</v>
      </c>
      <c r="I18" s="44">
        <f>'Data Sheet'!J18</f>
        <v>0</v>
      </c>
      <c r="J18" s="44">
        <f>'Data Sheet'!K18</f>
        <v>0</v>
      </c>
      <c r="K18" s="44">
        <f>'Data Sheet'!L18</f>
        <v>0</v>
      </c>
      <c r="L18" s="44">
        <f>'Data Sheet'!M18</f>
        <v>0</v>
      </c>
      <c r="M18" s="5"/>
      <c r="N18" s="44">
        <f>'Data Sheet'!O18</f>
        <v>0</v>
      </c>
      <c r="O18" s="44">
        <f>'Data Sheet'!P18</f>
        <v>0</v>
      </c>
      <c r="P18" s="44">
        <f>'Data Sheet'!Q18</f>
        <v>0</v>
      </c>
      <c r="Q18" s="44">
        <f>'Data Sheet'!R18</f>
        <v>0</v>
      </c>
      <c r="R18" s="44">
        <f>'Data Sheet'!S18</f>
        <v>0</v>
      </c>
      <c r="S18" s="44">
        <f>'Data Sheet'!T18</f>
        <v>0</v>
      </c>
      <c r="T18" s="44">
        <f>'Data Sheet'!U18</f>
        <v>0</v>
      </c>
      <c r="U18" s="44">
        <f>'Data Sheet'!V18</f>
        <v>0</v>
      </c>
      <c r="V18" s="5"/>
      <c r="W18" s="16" t="str">
        <f t="shared" si="1"/>
        <v/>
      </c>
      <c r="X18" s="10">
        <v>0</v>
      </c>
      <c r="Y18" s="11">
        <v>1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2">
        <v>0</v>
      </c>
      <c r="AG18" s="45">
        <f t="shared" si="4"/>
        <v>1</v>
      </c>
      <c r="AH18" s="45">
        <f t="shared" si="2"/>
        <v>1</v>
      </c>
      <c r="AI18" s="45">
        <f>SUMIF($X$3:$AE$3,W18,X18:AE18)</f>
        <v>0</v>
      </c>
      <c r="AJ18" s="45">
        <f t="shared" si="6"/>
        <v>0</v>
      </c>
      <c r="AK18" s="45">
        <f t="shared" si="3"/>
        <v>0</v>
      </c>
      <c r="AL18" s="1">
        <f t="shared" si="7"/>
        <v>0</v>
      </c>
      <c r="AM18" s="1">
        <f t="shared" si="8"/>
        <v>0</v>
      </c>
      <c r="AO18" s="45">
        <f t="shared" si="9"/>
        <v>0</v>
      </c>
      <c r="AP18" s="45">
        <f t="shared" si="10"/>
        <v>0</v>
      </c>
      <c r="AQ18" s="45">
        <f t="shared" si="11"/>
        <v>0</v>
      </c>
    </row>
    <row r="19" spans="1:43" ht="15" thickTop="1" thickBot="1" x14ac:dyDescent="0.5">
      <c r="A19" s="68" t="str">
        <f>IF(ISTEXT('Data Sheet'!B19),'Data Sheet'!B19&amp;" "&amp;'Data Sheet'!A19,"")</f>
        <v>PARKER FOX</v>
      </c>
      <c r="B19" s="70">
        <f>'Data Sheet'!C19</f>
        <v>16</v>
      </c>
      <c r="C19" s="38"/>
      <c r="D19" s="44">
        <f>'Data Sheet'!E19</f>
        <v>1</v>
      </c>
      <c r="E19" s="44">
        <f>'Data Sheet'!F19</f>
        <v>0</v>
      </c>
      <c r="F19" s="44">
        <f>'Data Sheet'!G19</f>
        <v>4</v>
      </c>
      <c r="G19" s="44">
        <f>'Data Sheet'!H19</f>
        <v>4</v>
      </c>
      <c r="H19" s="44">
        <f>'Data Sheet'!I19</f>
        <v>0</v>
      </c>
      <c r="I19" s="44">
        <f>'Data Sheet'!J19</f>
        <v>0</v>
      </c>
      <c r="J19" s="44">
        <f>'Data Sheet'!K19</f>
        <v>0</v>
      </c>
      <c r="K19" s="44">
        <f>'Data Sheet'!L19</f>
        <v>0</v>
      </c>
      <c r="L19" s="44">
        <f>'Data Sheet'!M19</f>
        <v>0</v>
      </c>
      <c r="M19" s="5"/>
      <c r="N19" s="44">
        <f>'Data Sheet'!O19</f>
        <v>0</v>
      </c>
      <c r="O19" s="44">
        <f>'Data Sheet'!P19</f>
        <v>0</v>
      </c>
      <c r="P19" s="44">
        <f>'Data Sheet'!Q19</f>
        <v>0</v>
      </c>
      <c r="Q19" s="44">
        <f>'Data Sheet'!R19</f>
        <v>0</v>
      </c>
      <c r="R19" s="44">
        <f>'Data Sheet'!S19</f>
        <v>0</v>
      </c>
      <c r="S19" s="44">
        <f>'Data Sheet'!T19</f>
        <v>1</v>
      </c>
      <c r="T19" s="44">
        <f>'Data Sheet'!U19</f>
        <v>0</v>
      </c>
      <c r="U19" s="44">
        <f>'Data Sheet'!V19</f>
        <v>0</v>
      </c>
      <c r="V19" s="5"/>
      <c r="W19" s="16" t="str">
        <f t="shared" si="1"/>
        <v/>
      </c>
      <c r="X19" s="10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1</v>
      </c>
      <c r="AD19" s="11">
        <v>0</v>
      </c>
      <c r="AE19" s="12">
        <v>0</v>
      </c>
      <c r="AG19" s="45">
        <f t="shared" si="4"/>
        <v>1</v>
      </c>
      <c r="AH19" s="45">
        <f t="shared" si="2"/>
        <v>1</v>
      </c>
      <c r="AI19" s="45">
        <f t="shared" si="5"/>
        <v>0</v>
      </c>
      <c r="AJ19" s="45">
        <f t="shared" si="6"/>
        <v>0</v>
      </c>
      <c r="AK19" s="45">
        <f t="shared" si="3"/>
        <v>1</v>
      </c>
      <c r="AL19" s="1">
        <f t="shared" si="7"/>
        <v>1</v>
      </c>
      <c r="AM19" s="1">
        <f t="shared" si="8"/>
        <v>0</v>
      </c>
      <c r="AO19" s="45">
        <f t="shared" si="9"/>
        <v>1</v>
      </c>
      <c r="AP19" s="45">
        <f t="shared" si="10"/>
        <v>1</v>
      </c>
      <c r="AQ19" s="45">
        <f t="shared" si="11"/>
        <v>0</v>
      </c>
    </row>
    <row r="20" spans="1:43" ht="15" thickTop="1" thickBot="1" x14ac:dyDescent="0.5">
      <c r="A20" s="68" t="str">
        <f>IF(ISTEXT('Data Sheet'!B20),'Data Sheet'!B20&amp;" "&amp;'Data Sheet'!A20,"")</f>
        <v>WYATT JUDGE</v>
      </c>
      <c r="B20" s="70">
        <f>'Data Sheet'!C20</f>
        <v>17</v>
      </c>
      <c r="C20" s="38"/>
      <c r="D20" s="44">
        <f>'Data Sheet'!E20</f>
        <v>1</v>
      </c>
      <c r="E20" s="44">
        <f>'Data Sheet'!F20</f>
        <v>0</v>
      </c>
      <c r="F20" s="44">
        <f>'Data Sheet'!G20</f>
        <v>4</v>
      </c>
      <c r="G20" s="44">
        <f>'Data Sheet'!H20</f>
        <v>4</v>
      </c>
      <c r="H20" s="44">
        <f>'Data Sheet'!I20</f>
        <v>0</v>
      </c>
      <c r="I20" s="44">
        <f>'Data Sheet'!J20</f>
        <v>0</v>
      </c>
      <c r="J20" s="44">
        <f>'Data Sheet'!K20</f>
        <v>0</v>
      </c>
      <c r="K20" s="44">
        <f>'Data Sheet'!L20</f>
        <v>0</v>
      </c>
      <c r="L20" s="44">
        <f>'Data Sheet'!M20</f>
        <v>0</v>
      </c>
      <c r="M20" s="5"/>
      <c r="N20" s="44">
        <f>'Data Sheet'!O20</f>
        <v>0</v>
      </c>
      <c r="O20" s="44">
        <f>'Data Sheet'!P20</f>
        <v>0</v>
      </c>
      <c r="P20" s="44">
        <f>'Data Sheet'!Q20</f>
        <v>1</v>
      </c>
      <c r="Q20" s="44">
        <f>'Data Sheet'!R20</f>
        <v>0</v>
      </c>
      <c r="R20" s="44">
        <f>'Data Sheet'!S20</f>
        <v>0</v>
      </c>
      <c r="S20" s="44">
        <f>'Data Sheet'!T20</f>
        <v>0</v>
      </c>
      <c r="T20" s="44">
        <f>'Data Sheet'!U20</f>
        <v>0</v>
      </c>
      <c r="U20" s="44">
        <f>'Data Sheet'!V20</f>
        <v>0</v>
      </c>
      <c r="V20" s="5"/>
      <c r="W20" s="16" t="str">
        <f t="shared" si="1"/>
        <v/>
      </c>
      <c r="X20" s="10">
        <v>0</v>
      </c>
      <c r="Y20" s="11">
        <v>0</v>
      </c>
      <c r="Z20" s="11">
        <v>1</v>
      </c>
      <c r="AA20" s="11">
        <v>0</v>
      </c>
      <c r="AB20" s="11">
        <v>0</v>
      </c>
      <c r="AC20" s="11">
        <v>0</v>
      </c>
      <c r="AD20" s="11">
        <v>0</v>
      </c>
      <c r="AE20" s="12">
        <v>0</v>
      </c>
      <c r="AG20" s="45">
        <f t="shared" si="4"/>
        <v>1</v>
      </c>
      <c r="AH20" s="45">
        <f t="shared" si="2"/>
        <v>1</v>
      </c>
      <c r="AI20" s="45">
        <f t="shared" si="5"/>
        <v>0</v>
      </c>
      <c r="AJ20" s="45">
        <f t="shared" si="6"/>
        <v>0</v>
      </c>
      <c r="AK20" s="45">
        <f t="shared" si="3"/>
        <v>1</v>
      </c>
      <c r="AL20" s="1">
        <f t="shared" si="7"/>
        <v>1</v>
      </c>
      <c r="AM20" s="1">
        <f t="shared" si="8"/>
        <v>0</v>
      </c>
      <c r="AO20" s="45">
        <f t="shared" si="9"/>
        <v>1</v>
      </c>
      <c r="AP20" s="45">
        <f t="shared" si="10"/>
        <v>1</v>
      </c>
      <c r="AQ20" s="45">
        <f t="shared" si="11"/>
        <v>0</v>
      </c>
    </row>
    <row r="21" spans="1:43" ht="15" thickTop="1" thickBot="1" x14ac:dyDescent="0.5">
      <c r="A21" s="68" t="str">
        <f>IF(ISTEXT('Data Sheet'!B21),'Data Sheet'!B21&amp;" "&amp;'Data Sheet'!A21,"")</f>
        <v>CASHLIN ROGERS</v>
      </c>
      <c r="B21" s="70">
        <f>'Data Sheet'!C21</f>
        <v>18</v>
      </c>
      <c r="C21" s="38"/>
      <c r="D21" s="44">
        <f>'Data Sheet'!E21</f>
        <v>1</v>
      </c>
      <c r="E21" s="44">
        <f>'Data Sheet'!F21</f>
        <v>0</v>
      </c>
      <c r="F21" s="44">
        <f>'Data Sheet'!G21</f>
        <v>4</v>
      </c>
      <c r="G21" s="44">
        <f>'Data Sheet'!H21</f>
        <v>3</v>
      </c>
      <c r="H21" s="44">
        <f>'Data Sheet'!I21</f>
        <v>0</v>
      </c>
      <c r="I21" s="44">
        <f>'Data Sheet'!J21</f>
        <v>0</v>
      </c>
      <c r="J21" s="44">
        <f>'Data Sheet'!K21</f>
        <v>0</v>
      </c>
      <c r="K21" s="44">
        <f>'Data Sheet'!L21</f>
        <v>0</v>
      </c>
      <c r="L21" s="44">
        <f>'Data Sheet'!M21</f>
        <v>0</v>
      </c>
      <c r="M21" s="5"/>
      <c r="N21" s="44">
        <f>'Data Sheet'!O21</f>
        <v>1</v>
      </c>
      <c r="O21" s="44">
        <f>'Data Sheet'!P21</f>
        <v>0</v>
      </c>
      <c r="P21" s="44">
        <f>'Data Sheet'!Q21</f>
        <v>0</v>
      </c>
      <c r="Q21" s="44">
        <f>'Data Sheet'!R21</f>
        <v>0</v>
      </c>
      <c r="R21" s="44">
        <f>'Data Sheet'!S21</f>
        <v>0</v>
      </c>
      <c r="S21" s="44">
        <f>'Data Sheet'!T21</f>
        <v>0</v>
      </c>
      <c r="T21" s="44">
        <f>'Data Sheet'!U21</f>
        <v>0</v>
      </c>
      <c r="U21" s="44">
        <f>'Data Sheet'!V21</f>
        <v>0</v>
      </c>
      <c r="V21" s="5"/>
      <c r="W21" s="16" t="str">
        <f t="shared" si="1"/>
        <v/>
      </c>
      <c r="X21" s="10">
        <v>1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2">
        <v>0</v>
      </c>
      <c r="AG21" s="45">
        <f t="shared" si="4"/>
        <v>1</v>
      </c>
      <c r="AH21" s="45">
        <f t="shared" si="2"/>
        <v>1</v>
      </c>
      <c r="AI21" s="45">
        <f t="shared" si="5"/>
        <v>0</v>
      </c>
      <c r="AJ21" s="45">
        <f t="shared" si="6"/>
        <v>0</v>
      </c>
      <c r="AK21" s="45">
        <f t="shared" si="3"/>
        <v>1</v>
      </c>
      <c r="AL21" s="1">
        <f t="shared" si="7"/>
        <v>1</v>
      </c>
      <c r="AM21" s="1">
        <f t="shared" si="8"/>
        <v>0</v>
      </c>
      <c r="AO21" s="45">
        <f t="shared" si="9"/>
        <v>1</v>
      </c>
      <c r="AP21" s="45">
        <f t="shared" si="10"/>
        <v>1</v>
      </c>
      <c r="AQ21" s="45">
        <f t="shared" si="11"/>
        <v>0</v>
      </c>
    </row>
    <row r="22" spans="1:43" ht="15" thickTop="1" thickBot="1" x14ac:dyDescent="0.5">
      <c r="A22" s="68" t="str">
        <f>IF(ISTEXT('Data Sheet'!B22),'Data Sheet'!B22&amp;" "&amp;'Data Sheet'!A22,"")</f>
        <v>MADILYN HELLER</v>
      </c>
      <c r="B22" s="70">
        <f>'Data Sheet'!C22</f>
        <v>19</v>
      </c>
      <c r="C22" s="38"/>
      <c r="D22" s="44">
        <f>'Data Sheet'!E22</f>
        <v>0</v>
      </c>
      <c r="E22" s="44">
        <f>'Data Sheet'!F22</f>
        <v>0</v>
      </c>
      <c r="F22" s="44">
        <f>'Data Sheet'!G22</f>
        <v>3</v>
      </c>
      <c r="G22" s="44">
        <f>'Data Sheet'!H22</f>
        <v>4</v>
      </c>
      <c r="H22" s="44">
        <f>'Data Sheet'!I22</f>
        <v>0</v>
      </c>
      <c r="I22" s="44">
        <f>'Data Sheet'!J22</f>
        <v>0</v>
      </c>
      <c r="J22" s="44">
        <f>'Data Sheet'!K22</f>
        <v>0</v>
      </c>
      <c r="K22" s="44">
        <f>'Data Sheet'!L22</f>
        <v>0</v>
      </c>
      <c r="L22" s="44">
        <f>'Data Sheet'!M22</f>
        <v>0</v>
      </c>
      <c r="M22" s="5"/>
      <c r="N22" s="44">
        <f>'Data Sheet'!O22</f>
        <v>0</v>
      </c>
      <c r="O22" s="44">
        <f>'Data Sheet'!P22</f>
        <v>0</v>
      </c>
      <c r="P22" s="44">
        <f>'Data Sheet'!Q22</f>
        <v>0</v>
      </c>
      <c r="Q22" s="44">
        <f>'Data Sheet'!R22</f>
        <v>0</v>
      </c>
      <c r="R22" s="44">
        <f>'Data Sheet'!S22</f>
        <v>0</v>
      </c>
      <c r="S22" s="44">
        <f>'Data Sheet'!T22</f>
        <v>0</v>
      </c>
      <c r="T22" s="44">
        <f>'Data Sheet'!U22</f>
        <v>0</v>
      </c>
      <c r="U22" s="44">
        <f>'Data Sheet'!V22</f>
        <v>1</v>
      </c>
      <c r="V22" s="5"/>
      <c r="W22" s="16" t="str">
        <f t="shared" si="1"/>
        <v/>
      </c>
      <c r="X22" s="10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2">
        <v>1</v>
      </c>
      <c r="AG22" s="45">
        <f t="shared" si="4"/>
        <v>1</v>
      </c>
      <c r="AH22" s="45">
        <f t="shared" si="2"/>
        <v>1</v>
      </c>
      <c r="AI22" s="45">
        <f t="shared" si="5"/>
        <v>0</v>
      </c>
      <c r="AJ22" s="45">
        <f t="shared" si="6"/>
        <v>0</v>
      </c>
      <c r="AK22" s="45">
        <f t="shared" si="3"/>
        <v>1</v>
      </c>
      <c r="AL22" s="1">
        <f t="shared" si="7"/>
        <v>1</v>
      </c>
      <c r="AM22" s="1">
        <f t="shared" si="8"/>
        <v>0</v>
      </c>
      <c r="AO22" s="45">
        <f t="shared" si="9"/>
        <v>1</v>
      </c>
      <c r="AP22" s="45">
        <f t="shared" si="10"/>
        <v>1</v>
      </c>
      <c r="AQ22" s="45">
        <f t="shared" si="11"/>
        <v>0</v>
      </c>
    </row>
    <row r="23" spans="1:43" ht="15" thickTop="1" thickBot="1" x14ac:dyDescent="0.5">
      <c r="A23" s="68" t="str">
        <f>IF(ISTEXT('Data Sheet'!B23),'Data Sheet'!B23&amp;" "&amp;'Data Sheet'!A23,"")</f>
        <v>AVANI RAINIER</v>
      </c>
      <c r="B23" s="70">
        <f>'Data Sheet'!C23</f>
        <v>20</v>
      </c>
      <c r="C23" s="38"/>
      <c r="D23" s="44">
        <f>'Data Sheet'!E23</f>
        <v>0</v>
      </c>
      <c r="E23" s="44">
        <f>'Data Sheet'!F23</f>
        <v>1</v>
      </c>
      <c r="F23" s="44">
        <f>'Data Sheet'!G23</f>
        <v>3</v>
      </c>
      <c r="G23" s="44">
        <f>'Data Sheet'!H23</f>
        <v>3</v>
      </c>
      <c r="H23" s="44">
        <f>'Data Sheet'!I23</f>
        <v>0</v>
      </c>
      <c r="I23" s="44">
        <f>'Data Sheet'!J23</f>
        <v>0</v>
      </c>
      <c r="J23" s="44">
        <f>'Data Sheet'!K23</f>
        <v>0</v>
      </c>
      <c r="K23" s="44">
        <f>'Data Sheet'!L23</f>
        <v>0</v>
      </c>
      <c r="L23" s="44">
        <f>'Data Sheet'!M23</f>
        <v>0</v>
      </c>
      <c r="M23" s="5"/>
      <c r="N23" s="44">
        <f>'Data Sheet'!O23</f>
        <v>1</v>
      </c>
      <c r="O23" s="44">
        <f>'Data Sheet'!P23</f>
        <v>0</v>
      </c>
      <c r="P23" s="44">
        <f>'Data Sheet'!Q23</f>
        <v>0</v>
      </c>
      <c r="Q23" s="44">
        <f>'Data Sheet'!R23</f>
        <v>0</v>
      </c>
      <c r="R23" s="44">
        <f>'Data Sheet'!S23</f>
        <v>0</v>
      </c>
      <c r="S23" s="44">
        <f>'Data Sheet'!T23</f>
        <v>0</v>
      </c>
      <c r="T23" s="44">
        <f>'Data Sheet'!U23</f>
        <v>0</v>
      </c>
      <c r="U23" s="44">
        <f>'Data Sheet'!V23</f>
        <v>0</v>
      </c>
      <c r="V23" s="5"/>
      <c r="W23" s="16" t="str">
        <f t="shared" si="1"/>
        <v/>
      </c>
      <c r="X23" s="10">
        <v>1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2">
        <v>0</v>
      </c>
      <c r="AG23" s="45">
        <f t="shared" si="4"/>
        <v>1</v>
      </c>
      <c r="AH23" s="45">
        <f t="shared" si="2"/>
        <v>1</v>
      </c>
      <c r="AI23" s="45">
        <f t="shared" si="5"/>
        <v>0</v>
      </c>
      <c r="AJ23" s="45">
        <f t="shared" si="6"/>
        <v>0</v>
      </c>
      <c r="AK23" s="45">
        <f t="shared" si="3"/>
        <v>1</v>
      </c>
      <c r="AL23" s="1">
        <f t="shared" si="7"/>
        <v>1</v>
      </c>
      <c r="AM23" s="1">
        <f t="shared" si="8"/>
        <v>0</v>
      </c>
      <c r="AO23" s="45">
        <f t="shared" si="9"/>
        <v>1</v>
      </c>
      <c r="AP23" s="45">
        <f t="shared" si="10"/>
        <v>1</v>
      </c>
      <c r="AQ23" s="45">
        <f t="shared" si="11"/>
        <v>0</v>
      </c>
    </row>
    <row r="24" spans="1:43" ht="15" thickTop="1" thickBot="1" x14ac:dyDescent="0.5">
      <c r="A24" s="68" t="str">
        <f>IF(ISTEXT('Data Sheet'!B24),'Data Sheet'!B24&amp;" "&amp;'Data Sheet'!A24,"")</f>
        <v>COLTON TAYLOR</v>
      </c>
      <c r="B24" s="70">
        <f>'Data Sheet'!C24</f>
        <v>21</v>
      </c>
      <c r="C24" s="38"/>
      <c r="D24" s="44">
        <f>'Data Sheet'!E24</f>
        <v>1</v>
      </c>
      <c r="E24" s="44">
        <f>'Data Sheet'!F24</f>
        <v>0</v>
      </c>
      <c r="F24" s="44">
        <f>'Data Sheet'!G24</f>
        <v>3</v>
      </c>
      <c r="G24" s="44">
        <f>'Data Sheet'!H24</f>
        <v>3</v>
      </c>
      <c r="H24" s="44">
        <f>'Data Sheet'!I24</f>
        <v>0</v>
      </c>
      <c r="I24" s="44">
        <f>'Data Sheet'!J24</f>
        <v>0</v>
      </c>
      <c r="J24" s="44">
        <f>'Data Sheet'!K24</f>
        <v>0</v>
      </c>
      <c r="K24" s="44">
        <f>'Data Sheet'!L24</f>
        <v>0</v>
      </c>
      <c r="L24" s="44">
        <f>'Data Sheet'!M24</f>
        <v>0</v>
      </c>
      <c r="M24" s="5"/>
      <c r="N24" s="44">
        <f>'Data Sheet'!O24</f>
        <v>0</v>
      </c>
      <c r="O24" s="44">
        <f>'Data Sheet'!P24</f>
        <v>0</v>
      </c>
      <c r="P24" s="44">
        <f>'Data Sheet'!Q24</f>
        <v>0</v>
      </c>
      <c r="Q24" s="44">
        <f>'Data Sheet'!R24</f>
        <v>0</v>
      </c>
      <c r="R24" s="44">
        <f>'Data Sheet'!S24</f>
        <v>0</v>
      </c>
      <c r="S24" s="44">
        <f>'Data Sheet'!T24</f>
        <v>0</v>
      </c>
      <c r="T24" s="44">
        <f>'Data Sheet'!U24</f>
        <v>0</v>
      </c>
      <c r="U24" s="44">
        <f>'Data Sheet'!V24</f>
        <v>0</v>
      </c>
      <c r="V24" s="5"/>
      <c r="W24" s="16" t="str">
        <f t="shared" si="1"/>
        <v/>
      </c>
      <c r="X24" s="10">
        <v>0</v>
      </c>
      <c r="Y24" s="11">
        <v>0</v>
      </c>
      <c r="Z24" s="11">
        <v>1</v>
      </c>
      <c r="AA24" s="11">
        <v>0</v>
      </c>
      <c r="AB24" s="11">
        <v>0</v>
      </c>
      <c r="AC24" s="11">
        <v>0</v>
      </c>
      <c r="AD24" s="11">
        <v>0</v>
      </c>
      <c r="AE24" s="12">
        <v>0</v>
      </c>
      <c r="AG24" s="45">
        <f t="shared" si="4"/>
        <v>1</v>
      </c>
      <c r="AH24" s="45">
        <f t="shared" si="2"/>
        <v>1</v>
      </c>
      <c r="AI24" s="45">
        <f t="shared" si="5"/>
        <v>0</v>
      </c>
      <c r="AJ24" s="45">
        <f t="shared" si="6"/>
        <v>0</v>
      </c>
      <c r="AK24" s="45">
        <f t="shared" si="3"/>
        <v>0</v>
      </c>
      <c r="AL24" s="1">
        <f t="shared" si="7"/>
        <v>0</v>
      </c>
      <c r="AM24" s="1">
        <f t="shared" si="8"/>
        <v>0</v>
      </c>
      <c r="AO24" s="45">
        <f t="shared" si="9"/>
        <v>0</v>
      </c>
      <c r="AP24" s="45">
        <f t="shared" si="10"/>
        <v>0</v>
      </c>
      <c r="AQ24" s="45">
        <f t="shared" si="11"/>
        <v>0</v>
      </c>
    </row>
    <row r="25" spans="1:43" ht="15" thickTop="1" thickBot="1" x14ac:dyDescent="0.5">
      <c r="A25" s="68" t="str">
        <f>IF(ISTEXT('Data Sheet'!B25),'Data Sheet'!B25&amp;" "&amp;'Data Sheet'!A25,"")</f>
        <v>ASHLIN PAULHAMUS</v>
      </c>
      <c r="B25" s="70">
        <f>'Data Sheet'!C25</f>
        <v>22</v>
      </c>
      <c r="C25" s="38"/>
      <c r="D25" s="44">
        <f>'Data Sheet'!E25</f>
        <v>0</v>
      </c>
      <c r="E25" s="44">
        <f>'Data Sheet'!F25</f>
        <v>0</v>
      </c>
      <c r="F25" s="44">
        <f>'Data Sheet'!G25</f>
        <v>3</v>
      </c>
      <c r="G25" s="44">
        <f>'Data Sheet'!H25</f>
        <v>4</v>
      </c>
      <c r="H25" s="44">
        <f>'Data Sheet'!I25</f>
        <v>0</v>
      </c>
      <c r="I25" s="44">
        <f>'Data Sheet'!J25</f>
        <v>0</v>
      </c>
      <c r="J25" s="44">
        <f>'Data Sheet'!K25</f>
        <v>0</v>
      </c>
      <c r="K25" s="44">
        <f>'Data Sheet'!L25</f>
        <v>0</v>
      </c>
      <c r="L25" s="44">
        <f>'Data Sheet'!M25</f>
        <v>0</v>
      </c>
      <c r="M25" s="5"/>
      <c r="N25" s="44">
        <f>'Data Sheet'!O25</f>
        <v>0</v>
      </c>
      <c r="O25" s="44">
        <f>'Data Sheet'!P25</f>
        <v>0</v>
      </c>
      <c r="P25" s="44">
        <f>'Data Sheet'!Q25</f>
        <v>0</v>
      </c>
      <c r="Q25" s="44">
        <f>'Data Sheet'!R25</f>
        <v>0</v>
      </c>
      <c r="R25" s="44">
        <f>'Data Sheet'!S25</f>
        <v>0</v>
      </c>
      <c r="S25" s="44">
        <f>'Data Sheet'!T25</f>
        <v>0</v>
      </c>
      <c r="T25" s="44">
        <f>'Data Sheet'!U25</f>
        <v>0</v>
      </c>
      <c r="U25" s="44">
        <f>'Data Sheet'!V25</f>
        <v>0</v>
      </c>
      <c r="V25" s="5"/>
      <c r="W25" s="16" t="str">
        <f t="shared" si="1"/>
        <v/>
      </c>
      <c r="X25" s="10">
        <v>0</v>
      </c>
      <c r="Y25" s="11">
        <v>0</v>
      </c>
      <c r="Z25" s="11">
        <v>0</v>
      </c>
      <c r="AA25" s="11">
        <v>0</v>
      </c>
      <c r="AB25" s="11">
        <v>1</v>
      </c>
      <c r="AC25" s="11">
        <v>0</v>
      </c>
      <c r="AD25" s="11">
        <v>0</v>
      </c>
      <c r="AE25" s="12">
        <v>0</v>
      </c>
      <c r="AG25" s="45">
        <f t="shared" si="4"/>
        <v>1</v>
      </c>
      <c r="AH25" s="45">
        <f t="shared" si="2"/>
        <v>1</v>
      </c>
      <c r="AI25" s="45">
        <f t="shared" si="5"/>
        <v>0</v>
      </c>
      <c r="AJ25" s="45">
        <f t="shared" si="6"/>
        <v>0</v>
      </c>
      <c r="AK25" s="45">
        <f t="shared" si="3"/>
        <v>0</v>
      </c>
      <c r="AL25" s="1">
        <f t="shared" si="7"/>
        <v>0</v>
      </c>
      <c r="AM25" s="1">
        <f t="shared" si="8"/>
        <v>0</v>
      </c>
      <c r="AO25" s="45">
        <f t="shared" si="9"/>
        <v>0</v>
      </c>
      <c r="AP25" s="45">
        <f t="shared" si="10"/>
        <v>0</v>
      </c>
      <c r="AQ25" s="45">
        <f t="shared" si="11"/>
        <v>0</v>
      </c>
    </row>
    <row r="26" spans="1:43" ht="15" thickTop="1" thickBot="1" x14ac:dyDescent="0.5">
      <c r="A26" s="68" t="str">
        <f>IF(ISTEXT('Data Sheet'!B26),'Data Sheet'!B26&amp;" "&amp;'Data Sheet'!A26,"")</f>
        <v>CAIDEN SCARFO</v>
      </c>
      <c r="B26" s="70">
        <f>'Data Sheet'!C26</f>
        <v>23</v>
      </c>
      <c r="C26" s="38"/>
      <c r="D26" s="44">
        <f>'Data Sheet'!E26</f>
        <v>1</v>
      </c>
      <c r="E26" s="44">
        <f>'Data Sheet'!F26</f>
        <v>1</v>
      </c>
      <c r="F26" s="44">
        <f>'Data Sheet'!G26</f>
        <v>3</v>
      </c>
      <c r="G26" s="44">
        <f>'Data Sheet'!H26</f>
        <v>3</v>
      </c>
      <c r="H26" s="44">
        <f>'Data Sheet'!I26</f>
        <v>0</v>
      </c>
      <c r="I26" s="44">
        <f>'Data Sheet'!J26</f>
        <v>0</v>
      </c>
      <c r="J26" s="44">
        <f>'Data Sheet'!K26</f>
        <v>0</v>
      </c>
      <c r="K26" s="44">
        <f>'Data Sheet'!L26</f>
        <v>0</v>
      </c>
      <c r="L26" s="44">
        <f>'Data Sheet'!M26</f>
        <v>0</v>
      </c>
      <c r="M26" s="5"/>
      <c r="N26" s="44">
        <f>'Data Sheet'!O26</f>
        <v>0</v>
      </c>
      <c r="O26" s="44">
        <f>'Data Sheet'!P26</f>
        <v>0</v>
      </c>
      <c r="P26" s="44">
        <f>'Data Sheet'!Q26</f>
        <v>0</v>
      </c>
      <c r="Q26" s="44">
        <f>'Data Sheet'!R26</f>
        <v>0</v>
      </c>
      <c r="R26" s="44">
        <f>'Data Sheet'!S26</f>
        <v>0</v>
      </c>
      <c r="S26" s="44">
        <f>'Data Sheet'!T26</f>
        <v>0</v>
      </c>
      <c r="T26" s="44">
        <f>'Data Sheet'!U26</f>
        <v>0</v>
      </c>
      <c r="U26" s="44">
        <f>'Data Sheet'!V26</f>
        <v>0</v>
      </c>
      <c r="V26" s="5"/>
      <c r="W26" s="16" t="str">
        <f t="shared" si="1"/>
        <v/>
      </c>
      <c r="X26" s="10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1</v>
      </c>
      <c r="AE26" s="12">
        <v>0</v>
      </c>
      <c r="AG26" s="45">
        <f t="shared" si="4"/>
        <v>1</v>
      </c>
      <c r="AH26" s="45">
        <f t="shared" si="2"/>
        <v>1</v>
      </c>
      <c r="AI26" s="45">
        <f t="shared" si="5"/>
        <v>0</v>
      </c>
      <c r="AJ26" s="45">
        <f t="shared" si="6"/>
        <v>0</v>
      </c>
      <c r="AK26" s="45">
        <f t="shared" si="3"/>
        <v>0</v>
      </c>
      <c r="AL26" s="1">
        <f t="shared" si="7"/>
        <v>0</v>
      </c>
      <c r="AM26" s="1">
        <f t="shared" si="8"/>
        <v>0</v>
      </c>
      <c r="AO26" s="45">
        <f t="shared" si="9"/>
        <v>0</v>
      </c>
      <c r="AP26" s="45">
        <f t="shared" si="10"/>
        <v>0</v>
      </c>
      <c r="AQ26" s="45">
        <f t="shared" si="11"/>
        <v>0</v>
      </c>
    </row>
    <row r="27" spans="1:43" ht="15" thickTop="1" thickBot="1" x14ac:dyDescent="0.5">
      <c r="A27" s="68" t="str">
        <f>IF(ISTEXT('Data Sheet'!B27),'Data Sheet'!B27&amp;" "&amp;'Data Sheet'!A27,"")</f>
        <v>HANNAH WRIGHT</v>
      </c>
      <c r="B27" s="70">
        <f>'Data Sheet'!C27</f>
        <v>24</v>
      </c>
      <c r="C27" s="38"/>
      <c r="D27" s="44">
        <f>'Data Sheet'!E27</f>
        <v>0</v>
      </c>
      <c r="E27" s="44">
        <f>'Data Sheet'!F27</f>
        <v>0</v>
      </c>
      <c r="F27" s="44">
        <f>'Data Sheet'!G27</f>
        <v>3</v>
      </c>
      <c r="G27" s="44">
        <f>'Data Sheet'!H27</f>
        <v>4</v>
      </c>
      <c r="H27" s="44">
        <f>'Data Sheet'!I27</f>
        <v>0</v>
      </c>
      <c r="I27" s="44">
        <f>'Data Sheet'!J27</f>
        <v>0</v>
      </c>
      <c r="J27" s="44">
        <f>'Data Sheet'!K27</f>
        <v>0</v>
      </c>
      <c r="K27" s="44">
        <f>'Data Sheet'!L27</f>
        <v>0</v>
      </c>
      <c r="L27" s="44">
        <f>'Data Sheet'!M27</f>
        <v>0</v>
      </c>
      <c r="M27" s="5"/>
      <c r="N27" s="44">
        <f>'Data Sheet'!O27</f>
        <v>0</v>
      </c>
      <c r="O27" s="44">
        <f>'Data Sheet'!P27</f>
        <v>0</v>
      </c>
      <c r="P27" s="44">
        <f>'Data Sheet'!Q27</f>
        <v>0</v>
      </c>
      <c r="Q27" s="44">
        <f>'Data Sheet'!R27</f>
        <v>0</v>
      </c>
      <c r="R27" s="44">
        <f>'Data Sheet'!S27</f>
        <v>0</v>
      </c>
      <c r="S27" s="44">
        <f>'Data Sheet'!T27</f>
        <v>0</v>
      </c>
      <c r="T27" s="44">
        <f>'Data Sheet'!U27</f>
        <v>0</v>
      </c>
      <c r="U27" s="44">
        <f>'Data Sheet'!V27</f>
        <v>0</v>
      </c>
      <c r="V27" s="5"/>
      <c r="W27" s="16" t="str">
        <f t="shared" si="1"/>
        <v/>
      </c>
      <c r="X27" s="10">
        <v>0</v>
      </c>
      <c r="Y27" s="11">
        <v>1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2">
        <v>0</v>
      </c>
      <c r="AG27" s="45">
        <f t="shared" si="4"/>
        <v>1</v>
      </c>
      <c r="AH27" s="45">
        <f t="shared" si="2"/>
        <v>1</v>
      </c>
      <c r="AI27" s="45">
        <f t="shared" si="5"/>
        <v>0</v>
      </c>
      <c r="AJ27" s="45">
        <f t="shared" si="6"/>
        <v>0</v>
      </c>
      <c r="AK27" s="45">
        <f t="shared" si="3"/>
        <v>0</v>
      </c>
      <c r="AL27" s="1">
        <f t="shared" si="7"/>
        <v>0</v>
      </c>
      <c r="AM27" s="1">
        <f t="shared" si="8"/>
        <v>0</v>
      </c>
      <c r="AO27" s="45">
        <f t="shared" si="9"/>
        <v>0</v>
      </c>
      <c r="AP27" s="45">
        <f t="shared" si="10"/>
        <v>0</v>
      </c>
      <c r="AQ27" s="45">
        <f t="shared" si="11"/>
        <v>0</v>
      </c>
    </row>
    <row r="28" spans="1:43" ht="15" thickTop="1" thickBot="1" x14ac:dyDescent="0.5">
      <c r="A28" s="68" t="str">
        <f>IF(ISTEXT('Data Sheet'!B28),'Data Sheet'!B28&amp;" "&amp;'Data Sheet'!A28,"")</f>
        <v>NYIEER YOUNG</v>
      </c>
      <c r="B28" s="70">
        <f>'Data Sheet'!C28</f>
        <v>25</v>
      </c>
      <c r="C28" s="38"/>
      <c r="D28" s="44">
        <f>'Data Sheet'!E28</f>
        <v>1</v>
      </c>
      <c r="E28" s="44">
        <f>'Data Sheet'!F28</f>
        <v>1</v>
      </c>
      <c r="F28" s="44">
        <f>'Data Sheet'!G28</f>
        <v>3</v>
      </c>
      <c r="G28" s="44">
        <f>'Data Sheet'!H28</f>
        <v>4</v>
      </c>
      <c r="H28" s="44">
        <f>'Data Sheet'!I28</f>
        <v>0</v>
      </c>
      <c r="I28" s="44">
        <f>'Data Sheet'!J28</f>
        <v>0</v>
      </c>
      <c r="J28" s="44">
        <f>'Data Sheet'!K28</f>
        <v>0</v>
      </c>
      <c r="K28" s="44">
        <f>'Data Sheet'!L28</f>
        <v>0</v>
      </c>
      <c r="L28" s="44">
        <f>'Data Sheet'!M28</f>
        <v>0</v>
      </c>
      <c r="M28" s="5"/>
      <c r="N28" s="44">
        <f>'Data Sheet'!O28</f>
        <v>0</v>
      </c>
      <c r="O28" s="44">
        <f>'Data Sheet'!P28</f>
        <v>0</v>
      </c>
      <c r="P28" s="44">
        <f>'Data Sheet'!Q28</f>
        <v>0</v>
      </c>
      <c r="Q28" s="44">
        <f>'Data Sheet'!R28</f>
        <v>0</v>
      </c>
      <c r="R28" s="44">
        <f>'Data Sheet'!S28</f>
        <v>0</v>
      </c>
      <c r="S28" s="44">
        <f>'Data Sheet'!T28</f>
        <v>0</v>
      </c>
      <c r="T28" s="44">
        <f>'Data Sheet'!U28</f>
        <v>0</v>
      </c>
      <c r="U28" s="44">
        <f>'Data Sheet'!V28</f>
        <v>0</v>
      </c>
      <c r="V28" s="5"/>
      <c r="W28" s="16" t="str">
        <f t="shared" si="1"/>
        <v/>
      </c>
      <c r="X28" s="10">
        <v>0</v>
      </c>
      <c r="Y28" s="11">
        <v>0</v>
      </c>
      <c r="Z28" s="11">
        <v>1</v>
      </c>
      <c r="AA28" s="11">
        <v>0</v>
      </c>
      <c r="AB28" s="11">
        <v>0</v>
      </c>
      <c r="AC28" s="11">
        <v>0</v>
      </c>
      <c r="AD28" s="11">
        <v>0</v>
      </c>
      <c r="AE28" s="12">
        <v>0</v>
      </c>
      <c r="AG28" s="45">
        <f t="shared" si="4"/>
        <v>1</v>
      </c>
      <c r="AH28" s="45">
        <f t="shared" si="2"/>
        <v>1</v>
      </c>
      <c r="AI28" s="45">
        <f t="shared" si="5"/>
        <v>0</v>
      </c>
      <c r="AJ28" s="45">
        <f t="shared" si="6"/>
        <v>0</v>
      </c>
      <c r="AK28" s="45">
        <f t="shared" si="3"/>
        <v>0</v>
      </c>
      <c r="AL28" s="1">
        <f t="shared" si="7"/>
        <v>0</v>
      </c>
      <c r="AM28" s="1">
        <f t="shared" si="8"/>
        <v>0</v>
      </c>
      <c r="AO28" s="45">
        <f t="shared" si="9"/>
        <v>0</v>
      </c>
      <c r="AP28" s="45">
        <f t="shared" si="10"/>
        <v>0</v>
      </c>
      <c r="AQ28" s="45">
        <f t="shared" si="11"/>
        <v>0</v>
      </c>
    </row>
    <row r="29" spans="1:43" ht="15" thickTop="1" thickBot="1" x14ac:dyDescent="0.5">
      <c r="A29" s="68" t="str">
        <f>IF(ISTEXT('Data Sheet'!B29),'Data Sheet'!B29&amp;" "&amp;'Data Sheet'!A29,"")</f>
        <v>BRIANNA MARTIN</v>
      </c>
      <c r="B29" s="70">
        <f>'Data Sheet'!C29</f>
        <v>26</v>
      </c>
      <c r="C29" s="38"/>
      <c r="D29" s="44">
        <f>'Data Sheet'!E29</f>
        <v>0</v>
      </c>
      <c r="E29" s="44">
        <f>'Data Sheet'!F29</f>
        <v>1</v>
      </c>
      <c r="F29" s="44">
        <f>'Data Sheet'!G29</f>
        <v>3</v>
      </c>
      <c r="G29" s="44">
        <f>'Data Sheet'!H29</f>
        <v>4</v>
      </c>
      <c r="H29" s="44">
        <f>'Data Sheet'!I29</f>
        <v>0</v>
      </c>
      <c r="I29" s="44">
        <f>'Data Sheet'!J29</f>
        <v>0</v>
      </c>
      <c r="J29" s="44">
        <f>'Data Sheet'!K29</f>
        <v>0</v>
      </c>
      <c r="K29" s="44">
        <f>'Data Sheet'!L29</f>
        <v>0</v>
      </c>
      <c r="L29" s="44">
        <f>'Data Sheet'!M29</f>
        <v>0</v>
      </c>
      <c r="M29" s="5"/>
      <c r="N29" s="44">
        <f>'Data Sheet'!O29</f>
        <v>0</v>
      </c>
      <c r="O29" s="44">
        <f>'Data Sheet'!P29</f>
        <v>0</v>
      </c>
      <c r="P29" s="44">
        <f>'Data Sheet'!Q29</f>
        <v>0</v>
      </c>
      <c r="Q29" s="44">
        <f>'Data Sheet'!R29</f>
        <v>0</v>
      </c>
      <c r="R29" s="44">
        <f>'Data Sheet'!S29</f>
        <v>0</v>
      </c>
      <c r="S29" s="44">
        <f>'Data Sheet'!T29</f>
        <v>0</v>
      </c>
      <c r="T29" s="44">
        <f>'Data Sheet'!U29</f>
        <v>0</v>
      </c>
      <c r="U29" s="44">
        <f>'Data Sheet'!V29</f>
        <v>0</v>
      </c>
      <c r="V29" s="5"/>
      <c r="W29" s="16" t="str">
        <f t="shared" si="1"/>
        <v/>
      </c>
      <c r="X29" s="10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2">
        <v>1</v>
      </c>
      <c r="AG29" s="45">
        <f t="shared" si="4"/>
        <v>1</v>
      </c>
      <c r="AH29" s="45">
        <f t="shared" si="2"/>
        <v>1</v>
      </c>
      <c r="AI29" s="45">
        <f t="shared" si="5"/>
        <v>0</v>
      </c>
      <c r="AJ29" s="45">
        <f t="shared" si="6"/>
        <v>0</v>
      </c>
      <c r="AK29" s="45">
        <f t="shared" si="3"/>
        <v>0</v>
      </c>
      <c r="AL29" s="1">
        <f t="shared" si="7"/>
        <v>0</v>
      </c>
      <c r="AM29" s="1">
        <f t="shared" si="8"/>
        <v>0</v>
      </c>
      <c r="AO29" s="45">
        <f t="shared" si="9"/>
        <v>0</v>
      </c>
      <c r="AP29" s="45">
        <f t="shared" si="10"/>
        <v>0</v>
      </c>
      <c r="AQ29" s="45">
        <f t="shared" si="11"/>
        <v>0</v>
      </c>
    </row>
    <row r="30" spans="1:43" ht="15" thickTop="1" thickBot="1" x14ac:dyDescent="0.5">
      <c r="A30" s="68" t="str">
        <f>IF(ISTEXT('Data Sheet'!B30),'Data Sheet'!B30&amp;" "&amp;'Data Sheet'!A30,"")</f>
        <v>NOAH CARPENTER</v>
      </c>
      <c r="B30" s="70">
        <f>'Data Sheet'!C30</f>
        <v>27</v>
      </c>
      <c r="C30" s="38"/>
      <c r="D30" s="44">
        <f>'Data Sheet'!E30</f>
        <v>1</v>
      </c>
      <c r="E30" s="44">
        <f>'Data Sheet'!F30</f>
        <v>0</v>
      </c>
      <c r="F30" s="44">
        <f>'Data Sheet'!G30</f>
        <v>3</v>
      </c>
      <c r="G30" s="44">
        <f>'Data Sheet'!H30</f>
        <v>3</v>
      </c>
      <c r="H30" s="44">
        <f>'Data Sheet'!I30</f>
        <v>0</v>
      </c>
      <c r="I30" s="44">
        <f>'Data Sheet'!J30</f>
        <v>0</v>
      </c>
      <c r="J30" s="44">
        <f>'Data Sheet'!K30</f>
        <v>0</v>
      </c>
      <c r="K30" s="44">
        <f>'Data Sheet'!L30</f>
        <v>0</v>
      </c>
      <c r="L30" s="44">
        <f>'Data Sheet'!M30</f>
        <v>0</v>
      </c>
      <c r="M30" s="5"/>
      <c r="N30" s="44">
        <f>'Data Sheet'!O30</f>
        <v>0</v>
      </c>
      <c r="O30" s="44">
        <f>'Data Sheet'!P30</f>
        <v>0</v>
      </c>
      <c r="P30" s="44">
        <f>'Data Sheet'!Q30</f>
        <v>0</v>
      </c>
      <c r="Q30" s="44">
        <f>'Data Sheet'!R30</f>
        <v>0</v>
      </c>
      <c r="R30" s="44">
        <f>'Data Sheet'!S30</f>
        <v>0</v>
      </c>
      <c r="S30" s="44">
        <f>'Data Sheet'!T30</f>
        <v>0</v>
      </c>
      <c r="T30" s="44">
        <f>'Data Sheet'!U30</f>
        <v>0</v>
      </c>
      <c r="U30" s="44">
        <f>'Data Sheet'!V30</f>
        <v>0</v>
      </c>
      <c r="V30" s="5"/>
      <c r="W30" s="16" t="str">
        <f t="shared" si="1"/>
        <v/>
      </c>
      <c r="X30" s="10">
        <v>0</v>
      </c>
      <c r="Y30" s="11">
        <v>0</v>
      </c>
      <c r="Z30" s="11">
        <v>0</v>
      </c>
      <c r="AA30" s="11">
        <v>1</v>
      </c>
      <c r="AB30" s="11">
        <v>0</v>
      </c>
      <c r="AC30" s="11">
        <v>0</v>
      </c>
      <c r="AD30" s="11">
        <v>0</v>
      </c>
      <c r="AE30" s="12">
        <v>0</v>
      </c>
      <c r="AG30" s="45">
        <f t="shared" si="4"/>
        <v>1</v>
      </c>
      <c r="AH30" s="45">
        <f t="shared" si="2"/>
        <v>1</v>
      </c>
      <c r="AI30" s="45">
        <f t="shared" si="5"/>
        <v>0</v>
      </c>
      <c r="AJ30" s="45">
        <f t="shared" si="6"/>
        <v>0</v>
      </c>
      <c r="AK30" s="45">
        <f t="shared" si="3"/>
        <v>0</v>
      </c>
      <c r="AL30" s="1">
        <f t="shared" si="7"/>
        <v>0</v>
      </c>
      <c r="AM30" s="1">
        <f t="shared" si="8"/>
        <v>0</v>
      </c>
      <c r="AO30" s="45">
        <f t="shared" si="9"/>
        <v>0</v>
      </c>
      <c r="AP30" s="45">
        <f t="shared" si="10"/>
        <v>0</v>
      </c>
      <c r="AQ30" s="45">
        <f t="shared" si="11"/>
        <v>0</v>
      </c>
    </row>
    <row r="31" spans="1:43" ht="15" thickTop="1" thickBot="1" x14ac:dyDescent="0.5">
      <c r="A31" s="68" t="str">
        <f>IF(ISTEXT('Data Sheet'!B31),'Data Sheet'!B31&amp;" "&amp;'Data Sheet'!A31,"")</f>
        <v>WYATT GROVE</v>
      </c>
      <c r="B31" s="70">
        <f>'Data Sheet'!C31</f>
        <v>29</v>
      </c>
      <c r="C31" s="38"/>
      <c r="D31" s="44">
        <f>'Data Sheet'!E31</f>
        <v>1</v>
      </c>
      <c r="E31" s="44">
        <f>'Data Sheet'!F31</f>
        <v>0</v>
      </c>
      <c r="F31" s="44">
        <f>'Data Sheet'!G31</f>
        <v>3</v>
      </c>
      <c r="G31" s="44">
        <f>'Data Sheet'!H31</f>
        <v>3</v>
      </c>
      <c r="H31" s="44">
        <f>'Data Sheet'!I31</f>
        <v>0</v>
      </c>
      <c r="I31" s="44">
        <f>'Data Sheet'!J31</f>
        <v>0</v>
      </c>
      <c r="J31" s="44">
        <f>'Data Sheet'!K31</f>
        <v>0</v>
      </c>
      <c r="K31" s="44">
        <f>'Data Sheet'!L31</f>
        <v>0</v>
      </c>
      <c r="L31" s="44">
        <f>'Data Sheet'!M31</f>
        <v>0</v>
      </c>
      <c r="M31" s="5"/>
      <c r="N31" s="44">
        <f>'Data Sheet'!O31</f>
        <v>0</v>
      </c>
      <c r="O31" s="44">
        <f>'Data Sheet'!P31</f>
        <v>0</v>
      </c>
      <c r="P31" s="44">
        <f>'Data Sheet'!Q31</f>
        <v>0</v>
      </c>
      <c r="Q31" s="44">
        <f>'Data Sheet'!R31</f>
        <v>0</v>
      </c>
      <c r="R31" s="44">
        <f>'Data Sheet'!S31</f>
        <v>0</v>
      </c>
      <c r="S31" s="44">
        <f>'Data Sheet'!T31</f>
        <v>1</v>
      </c>
      <c r="T31" s="44">
        <f>'Data Sheet'!U31</f>
        <v>0</v>
      </c>
      <c r="U31" s="44">
        <f>'Data Sheet'!V31</f>
        <v>0</v>
      </c>
      <c r="V31" s="5"/>
      <c r="W31" s="16" t="str">
        <f t="shared" si="1"/>
        <v/>
      </c>
      <c r="X31" s="10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1</v>
      </c>
      <c r="AD31" s="11">
        <v>0</v>
      </c>
      <c r="AE31" s="12">
        <v>0</v>
      </c>
      <c r="AG31" s="45">
        <f t="shared" si="4"/>
        <v>1</v>
      </c>
      <c r="AH31" s="45">
        <f t="shared" si="2"/>
        <v>1</v>
      </c>
      <c r="AI31" s="45">
        <f t="shared" si="5"/>
        <v>0</v>
      </c>
      <c r="AJ31" s="45">
        <f t="shared" si="6"/>
        <v>0</v>
      </c>
      <c r="AK31" s="45">
        <f t="shared" si="3"/>
        <v>1</v>
      </c>
      <c r="AL31" s="1">
        <f t="shared" si="7"/>
        <v>1</v>
      </c>
      <c r="AM31" s="1">
        <f t="shared" si="8"/>
        <v>0</v>
      </c>
      <c r="AO31" s="45">
        <f t="shared" si="9"/>
        <v>1</v>
      </c>
      <c r="AP31" s="45">
        <f t="shared" si="10"/>
        <v>1</v>
      </c>
      <c r="AQ31" s="45">
        <f t="shared" si="11"/>
        <v>0</v>
      </c>
    </row>
    <row r="32" spans="1:43" ht="15" thickTop="1" thickBot="1" x14ac:dyDescent="0.5">
      <c r="A32" s="68" t="str">
        <f>IF(ISTEXT('Data Sheet'!B32),'Data Sheet'!B32&amp;" "&amp;'Data Sheet'!A32,"")</f>
        <v>BREENA PRYOR</v>
      </c>
      <c r="B32" s="70">
        <f>'Data Sheet'!C32</f>
        <v>30</v>
      </c>
      <c r="C32" s="38"/>
      <c r="D32" s="44">
        <f>'Data Sheet'!E32</f>
        <v>0</v>
      </c>
      <c r="E32" s="44">
        <f>'Data Sheet'!F32</f>
        <v>0</v>
      </c>
      <c r="F32" s="44">
        <f>'Data Sheet'!G32</f>
        <v>3</v>
      </c>
      <c r="G32" s="44">
        <f>'Data Sheet'!H32</f>
        <v>4</v>
      </c>
      <c r="H32" s="44">
        <f>'Data Sheet'!I32</f>
        <v>0</v>
      </c>
      <c r="I32" s="44">
        <f>'Data Sheet'!J32</f>
        <v>0</v>
      </c>
      <c r="J32" s="44">
        <f>'Data Sheet'!K32</f>
        <v>0</v>
      </c>
      <c r="K32" s="44">
        <f>'Data Sheet'!L32</f>
        <v>0</v>
      </c>
      <c r="L32" s="44">
        <f>'Data Sheet'!M32</f>
        <v>0</v>
      </c>
      <c r="M32" s="5"/>
      <c r="N32" s="44">
        <f>'Data Sheet'!O32</f>
        <v>0</v>
      </c>
      <c r="O32" s="44">
        <f>'Data Sheet'!P32</f>
        <v>0</v>
      </c>
      <c r="P32" s="44">
        <f>'Data Sheet'!Q32</f>
        <v>0</v>
      </c>
      <c r="Q32" s="44">
        <f>'Data Sheet'!R32</f>
        <v>0</v>
      </c>
      <c r="R32" s="44">
        <f>'Data Sheet'!S32</f>
        <v>0</v>
      </c>
      <c r="S32" s="44">
        <f>'Data Sheet'!T32</f>
        <v>0</v>
      </c>
      <c r="T32" s="44">
        <f>'Data Sheet'!U32</f>
        <v>0</v>
      </c>
      <c r="U32" s="44">
        <f>'Data Sheet'!V32</f>
        <v>0</v>
      </c>
      <c r="V32" s="5"/>
      <c r="W32" s="16" t="str">
        <f t="shared" si="1"/>
        <v/>
      </c>
      <c r="X32" s="10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1</v>
      </c>
      <c r="AE32" s="12">
        <v>0</v>
      </c>
      <c r="AG32" s="45">
        <f t="shared" si="4"/>
        <v>1</v>
      </c>
      <c r="AH32" s="45">
        <f t="shared" si="2"/>
        <v>1</v>
      </c>
      <c r="AI32" s="45">
        <f t="shared" si="5"/>
        <v>0</v>
      </c>
      <c r="AJ32" s="45">
        <f t="shared" si="6"/>
        <v>0</v>
      </c>
      <c r="AK32" s="45">
        <f t="shared" si="3"/>
        <v>0</v>
      </c>
      <c r="AL32" s="1">
        <f t="shared" si="7"/>
        <v>0</v>
      </c>
      <c r="AM32" s="1">
        <f t="shared" si="8"/>
        <v>0</v>
      </c>
      <c r="AO32" s="45">
        <f t="shared" si="9"/>
        <v>0</v>
      </c>
      <c r="AP32" s="45">
        <f t="shared" si="10"/>
        <v>0</v>
      </c>
      <c r="AQ32" s="45">
        <f t="shared" si="11"/>
        <v>0</v>
      </c>
    </row>
    <row r="33" spans="1:43" ht="15" thickTop="1" thickBot="1" x14ac:dyDescent="0.5">
      <c r="A33" s="68" t="str">
        <f>IF(ISTEXT('Data Sheet'!B33),'Data Sheet'!B33&amp;" "&amp;'Data Sheet'!A33,"")</f>
        <v>MADELYN SCHWANGER</v>
      </c>
      <c r="B33" s="70">
        <f>'Data Sheet'!C33</f>
        <v>31</v>
      </c>
      <c r="C33" s="38"/>
      <c r="D33" s="44">
        <f>'Data Sheet'!E33</f>
        <v>0</v>
      </c>
      <c r="E33" s="44">
        <f>'Data Sheet'!F33</f>
        <v>0</v>
      </c>
      <c r="F33" s="44">
        <f>'Data Sheet'!G33</f>
        <v>3</v>
      </c>
      <c r="G33" s="44">
        <f>'Data Sheet'!H33</f>
        <v>4</v>
      </c>
      <c r="H33" s="44">
        <f>'Data Sheet'!I33</f>
        <v>0</v>
      </c>
      <c r="I33" s="44">
        <f>'Data Sheet'!J33</f>
        <v>0</v>
      </c>
      <c r="J33" s="44">
        <f>'Data Sheet'!K33</f>
        <v>0</v>
      </c>
      <c r="K33" s="44">
        <f>'Data Sheet'!L33</f>
        <v>0</v>
      </c>
      <c r="L33" s="44">
        <f>'Data Sheet'!M33</f>
        <v>0</v>
      </c>
      <c r="M33" s="5"/>
      <c r="N33" s="44">
        <f>'Data Sheet'!O33</f>
        <v>1</v>
      </c>
      <c r="O33" s="44">
        <f>'Data Sheet'!P33</f>
        <v>0</v>
      </c>
      <c r="P33" s="44">
        <f>'Data Sheet'!Q33</f>
        <v>0</v>
      </c>
      <c r="Q33" s="44">
        <f>'Data Sheet'!R33</f>
        <v>0</v>
      </c>
      <c r="R33" s="44">
        <f>'Data Sheet'!S33</f>
        <v>0</v>
      </c>
      <c r="S33" s="44">
        <f>'Data Sheet'!T33</f>
        <v>0</v>
      </c>
      <c r="T33" s="44">
        <f>'Data Sheet'!U33</f>
        <v>0</v>
      </c>
      <c r="U33" s="44">
        <f>'Data Sheet'!V33</f>
        <v>0</v>
      </c>
      <c r="V33" s="5"/>
      <c r="W33" s="16" t="str">
        <f t="shared" si="1"/>
        <v/>
      </c>
      <c r="X33" s="10">
        <v>1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2">
        <v>0</v>
      </c>
      <c r="AG33" s="45">
        <f t="shared" si="4"/>
        <v>1</v>
      </c>
      <c r="AH33" s="45">
        <f t="shared" si="2"/>
        <v>1</v>
      </c>
      <c r="AI33" s="45">
        <f t="shared" si="5"/>
        <v>0</v>
      </c>
      <c r="AJ33" s="45">
        <f t="shared" si="6"/>
        <v>0</v>
      </c>
      <c r="AK33" s="45">
        <f t="shared" si="3"/>
        <v>1</v>
      </c>
      <c r="AL33" s="1">
        <f t="shared" si="7"/>
        <v>1</v>
      </c>
      <c r="AM33" s="1">
        <f t="shared" si="8"/>
        <v>0</v>
      </c>
      <c r="AO33" s="45">
        <f t="shared" si="9"/>
        <v>1</v>
      </c>
      <c r="AP33" s="45">
        <f t="shared" si="10"/>
        <v>1</v>
      </c>
      <c r="AQ33" s="45">
        <f t="shared" si="11"/>
        <v>0</v>
      </c>
    </row>
    <row r="34" spans="1:43" ht="15" thickTop="1" thickBot="1" x14ac:dyDescent="0.5">
      <c r="A34" s="68" t="str">
        <f>IF(ISTEXT('Data Sheet'!B34),'Data Sheet'!B34&amp;" "&amp;'Data Sheet'!A34,"")</f>
        <v>DYLAN TITUS</v>
      </c>
      <c r="B34" s="70">
        <f>'Data Sheet'!C34</f>
        <v>32</v>
      </c>
      <c r="C34" s="38"/>
      <c r="D34" s="44">
        <f>'Data Sheet'!E34</f>
        <v>1</v>
      </c>
      <c r="E34" s="44">
        <f>'Data Sheet'!F34</f>
        <v>0</v>
      </c>
      <c r="F34" s="44">
        <f>'Data Sheet'!G34</f>
        <v>3</v>
      </c>
      <c r="G34" s="44">
        <f>'Data Sheet'!H34</f>
        <v>4</v>
      </c>
      <c r="H34" s="44">
        <f>'Data Sheet'!I34</f>
        <v>0</v>
      </c>
      <c r="I34" s="44">
        <f>'Data Sheet'!J34</f>
        <v>0</v>
      </c>
      <c r="J34" s="44">
        <f>'Data Sheet'!K34</f>
        <v>0</v>
      </c>
      <c r="K34" s="44">
        <f>'Data Sheet'!L34</f>
        <v>0</v>
      </c>
      <c r="L34" s="44">
        <f>'Data Sheet'!M34</f>
        <v>0</v>
      </c>
      <c r="M34" s="5"/>
      <c r="N34" s="44">
        <f>'Data Sheet'!O34</f>
        <v>0</v>
      </c>
      <c r="O34" s="44">
        <f>'Data Sheet'!P34</f>
        <v>0</v>
      </c>
      <c r="P34" s="44">
        <f>'Data Sheet'!Q34</f>
        <v>0</v>
      </c>
      <c r="Q34" s="44">
        <f>'Data Sheet'!R34</f>
        <v>0</v>
      </c>
      <c r="R34" s="44">
        <f>'Data Sheet'!S34</f>
        <v>0</v>
      </c>
      <c r="S34" s="44">
        <f>'Data Sheet'!T34</f>
        <v>0</v>
      </c>
      <c r="T34" s="44">
        <f>'Data Sheet'!U34</f>
        <v>0</v>
      </c>
      <c r="U34" s="44">
        <f>'Data Sheet'!V34</f>
        <v>0</v>
      </c>
      <c r="V34" s="5"/>
      <c r="W34" s="16" t="str">
        <f t="shared" si="1"/>
        <v/>
      </c>
      <c r="X34" s="10">
        <v>0</v>
      </c>
      <c r="Y34" s="11">
        <v>0</v>
      </c>
      <c r="Z34" s="11">
        <v>0</v>
      </c>
      <c r="AA34" s="11">
        <v>0</v>
      </c>
      <c r="AB34" s="11">
        <v>1</v>
      </c>
      <c r="AC34" s="11">
        <v>0</v>
      </c>
      <c r="AD34" s="11">
        <v>0</v>
      </c>
      <c r="AE34" s="12">
        <v>0</v>
      </c>
      <c r="AG34" s="45">
        <f t="shared" si="4"/>
        <v>1</v>
      </c>
      <c r="AH34" s="45">
        <f t="shared" si="2"/>
        <v>1</v>
      </c>
      <c r="AI34" s="45">
        <f t="shared" si="5"/>
        <v>0</v>
      </c>
      <c r="AJ34" s="45">
        <f t="shared" si="6"/>
        <v>0</v>
      </c>
      <c r="AK34" s="45">
        <f t="shared" si="3"/>
        <v>0</v>
      </c>
      <c r="AL34" s="1">
        <f t="shared" si="7"/>
        <v>0</v>
      </c>
      <c r="AM34" s="1">
        <f t="shared" si="8"/>
        <v>0</v>
      </c>
      <c r="AO34" s="45">
        <f t="shared" si="9"/>
        <v>0</v>
      </c>
      <c r="AP34" s="45">
        <f t="shared" si="10"/>
        <v>0</v>
      </c>
      <c r="AQ34" s="45">
        <f t="shared" si="11"/>
        <v>0</v>
      </c>
    </row>
    <row r="35" spans="1:43" ht="15" thickTop="1" thickBot="1" x14ac:dyDescent="0.5">
      <c r="A35" s="68" t="str">
        <f>IF(ISTEXT('Data Sheet'!B35),'Data Sheet'!B35&amp;" "&amp;'Data Sheet'!A35,"")</f>
        <v>PAIGE CAMPBELL-WHITEHEAD</v>
      </c>
      <c r="B35" s="70">
        <f>'Data Sheet'!C35</f>
        <v>33</v>
      </c>
      <c r="C35" s="38"/>
      <c r="D35" s="44">
        <f>'Data Sheet'!E35</f>
        <v>0</v>
      </c>
      <c r="E35" s="44">
        <f>'Data Sheet'!F35</f>
        <v>1</v>
      </c>
      <c r="F35" s="44">
        <f>'Data Sheet'!G35</f>
        <v>3</v>
      </c>
      <c r="G35" s="44">
        <f>'Data Sheet'!H35</f>
        <v>4</v>
      </c>
      <c r="H35" s="44">
        <f>'Data Sheet'!I35</f>
        <v>0</v>
      </c>
      <c r="I35" s="44">
        <f>'Data Sheet'!J35</f>
        <v>0</v>
      </c>
      <c r="J35" s="44">
        <f>'Data Sheet'!K35</f>
        <v>0</v>
      </c>
      <c r="K35" s="44">
        <f>'Data Sheet'!L35</f>
        <v>0</v>
      </c>
      <c r="L35" s="44">
        <f>'Data Sheet'!M35</f>
        <v>0</v>
      </c>
      <c r="M35" s="5"/>
      <c r="N35" s="44">
        <f>'Data Sheet'!O35</f>
        <v>0</v>
      </c>
      <c r="O35" s="44">
        <f>'Data Sheet'!P35</f>
        <v>0</v>
      </c>
      <c r="P35" s="44">
        <f>'Data Sheet'!Q35</f>
        <v>0</v>
      </c>
      <c r="Q35" s="44">
        <f>'Data Sheet'!R35</f>
        <v>0</v>
      </c>
      <c r="R35" s="44">
        <f>'Data Sheet'!S35</f>
        <v>0</v>
      </c>
      <c r="S35" s="44">
        <f>'Data Sheet'!T35</f>
        <v>0</v>
      </c>
      <c r="T35" s="44">
        <f>'Data Sheet'!U35</f>
        <v>0</v>
      </c>
      <c r="U35" s="44">
        <f>'Data Sheet'!V35</f>
        <v>0</v>
      </c>
      <c r="V35" s="5"/>
      <c r="W35" s="16" t="str">
        <f t="shared" si="1"/>
        <v/>
      </c>
      <c r="X35" s="10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2">
        <v>1</v>
      </c>
      <c r="AG35" s="45">
        <f t="shared" si="4"/>
        <v>1</v>
      </c>
      <c r="AH35" s="45">
        <f t="shared" si="2"/>
        <v>1</v>
      </c>
      <c r="AI35" s="45">
        <f t="shared" si="5"/>
        <v>0</v>
      </c>
      <c r="AJ35" s="45">
        <f t="shared" si="6"/>
        <v>0</v>
      </c>
      <c r="AK35" s="45">
        <f t="shared" si="3"/>
        <v>0</v>
      </c>
      <c r="AL35" s="1">
        <f t="shared" si="7"/>
        <v>0</v>
      </c>
      <c r="AM35" s="1">
        <f t="shared" si="8"/>
        <v>0</v>
      </c>
      <c r="AO35" s="45">
        <f t="shared" si="9"/>
        <v>0</v>
      </c>
      <c r="AP35" s="45">
        <f t="shared" si="10"/>
        <v>0</v>
      </c>
      <c r="AQ35" s="45">
        <f t="shared" si="11"/>
        <v>0</v>
      </c>
    </row>
    <row r="36" spans="1:43" ht="15" thickTop="1" thickBot="1" x14ac:dyDescent="0.5">
      <c r="A36" s="68" t="str">
        <f>IF(ISTEXT('Data Sheet'!B36),'Data Sheet'!B36&amp;" "&amp;'Data Sheet'!A36,"")</f>
        <v>CADEN GUNSALLUS</v>
      </c>
      <c r="B36" s="70">
        <f>'Data Sheet'!C36</f>
        <v>34</v>
      </c>
      <c r="C36" s="38"/>
      <c r="D36" s="44">
        <f>'Data Sheet'!E36</f>
        <v>1</v>
      </c>
      <c r="E36" s="44">
        <f>'Data Sheet'!F36</f>
        <v>1</v>
      </c>
      <c r="F36" s="44">
        <f>'Data Sheet'!G36</f>
        <v>3</v>
      </c>
      <c r="G36" s="44">
        <f>'Data Sheet'!H36</f>
        <v>4</v>
      </c>
      <c r="H36" s="44">
        <f>'Data Sheet'!I36</f>
        <v>0</v>
      </c>
      <c r="I36" s="44">
        <f>'Data Sheet'!J36</f>
        <v>0</v>
      </c>
      <c r="J36" s="44">
        <f>'Data Sheet'!K36</f>
        <v>0</v>
      </c>
      <c r="K36" s="44">
        <f>'Data Sheet'!L36</f>
        <v>0</v>
      </c>
      <c r="L36" s="44">
        <f>'Data Sheet'!M36</f>
        <v>0</v>
      </c>
      <c r="M36" s="5"/>
      <c r="N36" s="44">
        <f>'Data Sheet'!O36</f>
        <v>0</v>
      </c>
      <c r="O36" s="44">
        <f>'Data Sheet'!P36</f>
        <v>0</v>
      </c>
      <c r="P36" s="44">
        <f>'Data Sheet'!Q36</f>
        <v>0</v>
      </c>
      <c r="Q36" s="44">
        <f>'Data Sheet'!R36</f>
        <v>0</v>
      </c>
      <c r="R36" s="44">
        <f>'Data Sheet'!S36</f>
        <v>0</v>
      </c>
      <c r="S36" s="44">
        <f>'Data Sheet'!T36</f>
        <v>0</v>
      </c>
      <c r="T36" s="44">
        <f>'Data Sheet'!U36</f>
        <v>0</v>
      </c>
      <c r="U36" s="44">
        <f>'Data Sheet'!V36</f>
        <v>0</v>
      </c>
      <c r="V36" s="5"/>
      <c r="W36" s="16" t="str">
        <f t="shared" si="1"/>
        <v/>
      </c>
      <c r="X36" s="10">
        <v>0</v>
      </c>
      <c r="Y36" s="11">
        <v>0</v>
      </c>
      <c r="Z36" s="11">
        <v>1</v>
      </c>
      <c r="AA36" s="11">
        <v>0</v>
      </c>
      <c r="AB36" s="11">
        <v>0</v>
      </c>
      <c r="AC36" s="11">
        <v>0</v>
      </c>
      <c r="AD36" s="11">
        <v>0</v>
      </c>
      <c r="AE36" s="12">
        <v>0</v>
      </c>
      <c r="AG36" s="45">
        <f t="shared" si="4"/>
        <v>1</v>
      </c>
      <c r="AH36" s="45">
        <f t="shared" si="2"/>
        <v>1</v>
      </c>
      <c r="AI36" s="45">
        <f t="shared" si="5"/>
        <v>0</v>
      </c>
      <c r="AJ36" s="45">
        <f t="shared" si="6"/>
        <v>0</v>
      </c>
      <c r="AK36" s="45">
        <f t="shared" si="3"/>
        <v>0</v>
      </c>
      <c r="AL36" s="1">
        <f t="shared" si="7"/>
        <v>0</v>
      </c>
      <c r="AM36" s="1">
        <f t="shared" si="8"/>
        <v>0</v>
      </c>
      <c r="AO36" s="45">
        <f t="shared" si="9"/>
        <v>0</v>
      </c>
      <c r="AP36" s="45">
        <f t="shared" si="10"/>
        <v>0</v>
      </c>
      <c r="AQ36" s="45">
        <f t="shared" si="11"/>
        <v>0</v>
      </c>
    </row>
    <row r="37" spans="1:43" ht="15" thickTop="1" thickBot="1" x14ac:dyDescent="0.5">
      <c r="A37" s="68" t="str">
        <f>IF(ISTEXT('Data Sheet'!B37),'Data Sheet'!B37&amp;" "&amp;'Data Sheet'!A37,"")</f>
        <v>JACOB WAY</v>
      </c>
      <c r="B37" s="70">
        <f>'Data Sheet'!C37</f>
        <v>35</v>
      </c>
      <c r="C37" s="38"/>
      <c r="D37" s="44">
        <f>'Data Sheet'!E37</f>
        <v>1</v>
      </c>
      <c r="E37" s="44">
        <f>'Data Sheet'!F37</f>
        <v>0</v>
      </c>
      <c r="F37" s="44">
        <f>'Data Sheet'!G37</f>
        <v>3</v>
      </c>
      <c r="G37" s="44">
        <f>'Data Sheet'!H37</f>
        <v>4</v>
      </c>
      <c r="H37" s="44">
        <f>'Data Sheet'!I37</f>
        <v>0</v>
      </c>
      <c r="I37" s="44">
        <f>'Data Sheet'!J37</f>
        <v>0</v>
      </c>
      <c r="J37" s="44">
        <f>'Data Sheet'!K37</f>
        <v>0</v>
      </c>
      <c r="K37" s="44">
        <f>'Data Sheet'!L37</f>
        <v>0</v>
      </c>
      <c r="L37" s="44">
        <f>'Data Sheet'!M37</f>
        <v>0</v>
      </c>
      <c r="M37" s="5"/>
      <c r="N37" s="44">
        <f>'Data Sheet'!O37</f>
        <v>0</v>
      </c>
      <c r="O37" s="44">
        <f>'Data Sheet'!P37</f>
        <v>0</v>
      </c>
      <c r="P37" s="44">
        <f>'Data Sheet'!Q37</f>
        <v>0</v>
      </c>
      <c r="Q37" s="44">
        <f>'Data Sheet'!R37</f>
        <v>0</v>
      </c>
      <c r="R37" s="44">
        <f>'Data Sheet'!S37</f>
        <v>0</v>
      </c>
      <c r="S37" s="44">
        <f>'Data Sheet'!T37</f>
        <v>-1</v>
      </c>
      <c r="T37" s="44">
        <f>'Data Sheet'!U37</f>
        <v>0</v>
      </c>
      <c r="U37" s="44">
        <f>'Data Sheet'!V37</f>
        <v>0</v>
      </c>
      <c r="V37" s="5"/>
      <c r="W37" s="16" t="str">
        <f t="shared" si="1"/>
        <v/>
      </c>
      <c r="X37" s="10">
        <v>0</v>
      </c>
      <c r="Y37" s="11">
        <v>1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2">
        <v>0</v>
      </c>
      <c r="AG37" s="45">
        <f t="shared" si="4"/>
        <v>1</v>
      </c>
      <c r="AH37" s="45">
        <f t="shared" si="2"/>
        <v>1</v>
      </c>
      <c r="AI37" s="45">
        <f t="shared" si="5"/>
        <v>0</v>
      </c>
      <c r="AJ37" s="45">
        <f t="shared" si="6"/>
        <v>0</v>
      </c>
      <c r="AK37" s="45">
        <f t="shared" si="3"/>
        <v>0</v>
      </c>
      <c r="AL37" s="1">
        <f t="shared" si="7"/>
        <v>0</v>
      </c>
      <c r="AM37" s="1">
        <f t="shared" si="8"/>
        <v>0</v>
      </c>
      <c r="AO37" s="45">
        <f t="shared" si="9"/>
        <v>0</v>
      </c>
      <c r="AP37" s="45">
        <f t="shared" si="10"/>
        <v>0</v>
      </c>
      <c r="AQ37" s="45">
        <f t="shared" si="11"/>
        <v>0</v>
      </c>
    </row>
    <row r="38" spans="1:43" ht="15" thickTop="1" thickBot="1" x14ac:dyDescent="0.5">
      <c r="A38" s="68" t="str">
        <f>IF(ISTEXT('Data Sheet'!B38),'Data Sheet'!B38&amp;" "&amp;'Data Sheet'!A38,"")</f>
        <v>STEVEN ECKMAN</v>
      </c>
      <c r="B38" s="70">
        <f>'Data Sheet'!C38</f>
        <v>36</v>
      </c>
      <c r="C38" s="38"/>
      <c r="D38" s="44">
        <f>'Data Sheet'!E38</f>
        <v>1</v>
      </c>
      <c r="E38" s="44">
        <f>'Data Sheet'!F38</f>
        <v>0</v>
      </c>
      <c r="F38" s="44">
        <f>'Data Sheet'!G38</f>
        <v>3</v>
      </c>
      <c r="G38" s="44">
        <f>'Data Sheet'!H38</f>
        <v>3</v>
      </c>
      <c r="H38" s="44">
        <f>'Data Sheet'!I38</f>
        <v>1</v>
      </c>
      <c r="I38" s="44">
        <f>'Data Sheet'!J38</f>
        <v>0</v>
      </c>
      <c r="J38" s="44">
        <f>'Data Sheet'!K38</f>
        <v>0</v>
      </c>
      <c r="K38" s="44">
        <f>'Data Sheet'!L38</f>
        <v>0</v>
      </c>
      <c r="L38" s="44">
        <f>'Data Sheet'!M38</f>
        <v>0</v>
      </c>
      <c r="M38" s="5"/>
      <c r="N38" s="44">
        <f>'Data Sheet'!O38</f>
        <v>0</v>
      </c>
      <c r="O38" s="44">
        <f>'Data Sheet'!P38</f>
        <v>0</v>
      </c>
      <c r="P38" s="44">
        <f>'Data Sheet'!Q38</f>
        <v>0</v>
      </c>
      <c r="Q38" s="44">
        <f>'Data Sheet'!R38</f>
        <v>0</v>
      </c>
      <c r="R38" s="44">
        <f>'Data Sheet'!S38</f>
        <v>0</v>
      </c>
      <c r="S38" s="44">
        <f>'Data Sheet'!T38</f>
        <v>0</v>
      </c>
      <c r="T38" s="44">
        <f>'Data Sheet'!U38</f>
        <v>0</v>
      </c>
      <c r="U38" s="44">
        <f>'Data Sheet'!V38</f>
        <v>0</v>
      </c>
      <c r="V38" s="5"/>
      <c r="W38" s="16" t="str">
        <f t="shared" si="1"/>
        <v/>
      </c>
      <c r="X38" s="10">
        <v>0</v>
      </c>
      <c r="Y38" s="11">
        <v>0</v>
      </c>
      <c r="Z38" s="11">
        <v>0</v>
      </c>
      <c r="AA38" s="11">
        <v>1</v>
      </c>
      <c r="AB38" s="11">
        <v>0</v>
      </c>
      <c r="AC38" s="11">
        <v>0</v>
      </c>
      <c r="AD38" s="11">
        <v>0</v>
      </c>
      <c r="AE38" s="12">
        <v>0</v>
      </c>
      <c r="AG38" s="45">
        <f t="shared" si="4"/>
        <v>1</v>
      </c>
      <c r="AH38" s="45">
        <f t="shared" si="2"/>
        <v>1</v>
      </c>
      <c r="AI38" s="45">
        <f t="shared" si="5"/>
        <v>0</v>
      </c>
      <c r="AJ38" s="45">
        <f t="shared" si="6"/>
        <v>0</v>
      </c>
      <c r="AK38" s="45">
        <f t="shared" si="3"/>
        <v>0</v>
      </c>
      <c r="AL38" s="1">
        <f t="shared" si="7"/>
        <v>0</v>
      </c>
      <c r="AM38" s="1">
        <f t="shared" si="8"/>
        <v>0</v>
      </c>
      <c r="AO38" s="45">
        <f t="shared" si="9"/>
        <v>0</v>
      </c>
      <c r="AP38" s="45">
        <f t="shared" si="10"/>
        <v>0</v>
      </c>
      <c r="AQ38" s="45">
        <f t="shared" si="11"/>
        <v>0</v>
      </c>
    </row>
    <row r="39" spans="1:43" ht="15" thickTop="1" thickBot="1" x14ac:dyDescent="0.5">
      <c r="A39" s="68" t="str">
        <f>IF(ISTEXT('Data Sheet'!B39),'Data Sheet'!B39&amp;" "&amp;'Data Sheet'!A39,"")</f>
        <v>ZYHAIRAH GALLOWAY</v>
      </c>
      <c r="B39" s="70">
        <f>'Data Sheet'!C39</f>
        <v>37</v>
      </c>
      <c r="C39" s="38"/>
      <c r="D39" s="44">
        <f>'Data Sheet'!E39</f>
        <v>0</v>
      </c>
      <c r="E39" s="44">
        <f>'Data Sheet'!F39</f>
        <v>1</v>
      </c>
      <c r="F39" s="44">
        <f>'Data Sheet'!G39</f>
        <v>3</v>
      </c>
      <c r="G39" s="44">
        <f>'Data Sheet'!H39</f>
        <v>4</v>
      </c>
      <c r="H39" s="44">
        <f>'Data Sheet'!I39</f>
        <v>0</v>
      </c>
      <c r="I39" s="44">
        <f>'Data Sheet'!J39</f>
        <v>0</v>
      </c>
      <c r="J39" s="44">
        <f>'Data Sheet'!K39</f>
        <v>0</v>
      </c>
      <c r="K39" s="44">
        <f>'Data Sheet'!L39</f>
        <v>0</v>
      </c>
      <c r="L39" s="44">
        <f>'Data Sheet'!M39</f>
        <v>0</v>
      </c>
      <c r="M39" s="5"/>
      <c r="N39" s="44">
        <f>'Data Sheet'!O39</f>
        <v>0</v>
      </c>
      <c r="O39" s="44">
        <f>'Data Sheet'!P39</f>
        <v>0</v>
      </c>
      <c r="P39" s="44">
        <f>'Data Sheet'!Q39</f>
        <v>0</v>
      </c>
      <c r="Q39" s="44">
        <f>'Data Sheet'!R39</f>
        <v>0</v>
      </c>
      <c r="R39" s="44">
        <f>'Data Sheet'!S39</f>
        <v>0</v>
      </c>
      <c r="S39" s="44">
        <f>'Data Sheet'!T39</f>
        <v>0</v>
      </c>
      <c r="T39" s="44">
        <f>'Data Sheet'!U39</f>
        <v>0</v>
      </c>
      <c r="U39" s="44">
        <f>'Data Sheet'!V39</f>
        <v>0</v>
      </c>
      <c r="V39" s="5"/>
      <c r="W39" s="16" t="str">
        <f t="shared" si="1"/>
        <v/>
      </c>
      <c r="X39" s="10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2">
        <v>1</v>
      </c>
      <c r="AG39" s="45">
        <f t="shared" si="4"/>
        <v>1</v>
      </c>
      <c r="AH39" s="45">
        <f t="shared" si="2"/>
        <v>1</v>
      </c>
      <c r="AI39" s="45">
        <f t="shared" si="5"/>
        <v>0</v>
      </c>
      <c r="AJ39" s="45">
        <f t="shared" si="6"/>
        <v>0</v>
      </c>
      <c r="AK39" s="45">
        <f t="shared" si="3"/>
        <v>0</v>
      </c>
      <c r="AL39" s="1">
        <f t="shared" si="7"/>
        <v>0</v>
      </c>
      <c r="AM39" s="1">
        <f t="shared" si="8"/>
        <v>0</v>
      </c>
      <c r="AO39" s="45">
        <f t="shared" si="9"/>
        <v>0</v>
      </c>
      <c r="AP39" s="45">
        <f t="shared" si="10"/>
        <v>0</v>
      </c>
      <c r="AQ39" s="45">
        <f t="shared" si="11"/>
        <v>0</v>
      </c>
    </row>
    <row r="40" spans="1:43" ht="15" thickTop="1" thickBot="1" x14ac:dyDescent="0.5">
      <c r="A40" s="68" t="str">
        <f>IF(ISTEXT('Data Sheet'!B40),'Data Sheet'!B40&amp;" "&amp;'Data Sheet'!A40,"")</f>
        <v>DONAVIN HACKENBERG</v>
      </c>
      <c r="B40" s="70">
        <f>'Data Sheet'!C40</f>
        <v>38</v>
      </c>
      <c r="C40" s="38"/>
      <c r="D40" s="44">
        <f>'Data Sheet'!E40</f>
        <v>1</v>
      </c>
      <c r="E40" s="44">
        <f>'Data Sheet'!F40</f>
        <v>0</v>
      </c>
      <c r="F40" s="44">
        <f>'Data Sheet'!G40</f>
        <v>3</v>
      </c>
      <c r="G40" s="44">
        <f>'Data Sheet'!H40</f>
        <v>3</v>
      </c>
      <c r="H40" s="44">
        <f>'Data Sheet'!I40</f>
        <v>0</v>
      </c>
      <c r="I40" s="44">
        <f>'Data Sheet'!J40</f>
        <v>0</v>
      </c>
      <c r="J40" s="44">
        <f>'Data Sheet'!K40</f>
        <v>0</v>
      </c>
      <c r="K40" s="44">
        <f>'Data Sheet'!L40</f>
        <v>0</v>
      </c>
      <c r="L40" s="44">
        <f>'Data Sheet'!M40</f>
        <v>0</v>
      </c>
      <c r="M40" s="5"/>
      <c r="N40" s="44">
        <f>'Data Sheet'!O40</f>
        <v>0</v>
      </c>
      <c r="O40" s="44">
        <f>'Data Sheet'!P40</f>
        <v>0</v>
      </c>
      <c r="P40" s="44">
        <f>'Data Sheet'!Q40</f>
        <v>0</v>
      </c>
      <c r="Q40" s="44">
        <f>'Data Sheet'!R40</f>
        <v>0</v>
      </c>
      <c r="R40" s="44">
        <f>'Data Sheet'!S40</f>
        <v>0</v>
      </c>
      <c r="S40" s="44">
        <f>'Data Sheet'!T40</f>
        <v>0</v>
      </c>
      <c r="T40" s="44">
        <f>'Data Sheet'!U40</f>
        <v>0</v>
      </c>
      <c r="U40" s="44">
        <f>'Data Sheet'!V40</f>
        <v>0</v>
      </c>
      <c r="V40" s="5"/>
      <c r="W40" s="16" t="str">
        <f t="shared" si="1"/>
        <v/>
      </c>
      <c r="X40" s="10">
        <v>0</v>
      </c>
      <c r="Y40" s="11">
        <v>1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2">
        <v>0</v>
      </c>
      <c r="AG40" s="45">
        <f t="shared" si="4"/>
        <v>1</v>
      </c>
      <c r="AH40" s="45">
        <f t="shared" si="2"/>
        <v>1</v>
      </c>
      <c r="AI40" s="45">
        <f t="shared" si="5"/>
        <v>0</v>
      </c>
      <c r="AJ40" s="45">
        <f t="shared" si="6"/>
        <v>0</v>
      </c>
      <c r="AK40" s="45">
        <f t="shared" si="3"/>
        <v>0</v>
      </c>
      <c r="AL40" s="1">
        <f t="shared" si="7"/>
        <v>0</v>
      </c>
      <c r="AM40" s="1">
        <f t="shared" si="8"/>
        <v>0</v>
      </c>
      <c r="AO40" s="45">
        <f t="shared" si="9"/>
        <v>0</v>
      </c>
      <c r="AP40" s="45">
        <f t="shared" si="10"/>
        <v>0</v>
      </c>
      <c r="AQ40" s="45">
        <f t="shared" si="11"/>
        <v>0</v>
      </c>
    </row>
    <row r="41" spans="1:43" ht="15" thickTop="1" thickBot="1" x14ac:dyDescent="0.5">
      <c r="A41" s="68" t="str">
        <f>IF(ISTEXT('Data Sheet'!B41),'Data Sheet'!B41&amp;" "&amp;'Data Sheet'!A41,"")</f>
        <v>MALAYKI MARIN</v>
      </c>
      <c r="B41" s="70">
        <f>'Data Sheet'!C41</f>
        <v>39</v>
      </c>
      <c r="C41" s="38"/>
      <c r="D41" s="44">
        <f>'Data Sheet'!E41</f>
        <v>1</v>
      </c>
      <c r="E41" s="44">
        <f>'Data Sheet'!F41</f>
        <v>1</v>
      </c>
      <c r="F41" s="44">
        <f>'Data Sheet'!G41</f>
        <v>3</v>
      </c>
      <c r="G41" s="44">
        <f>'Data Sheet'!H41</f>
        <v>3</v>
      </c>
      <c r="H41" s="44">
        <f>'Data Sheet'!I41</f>
        <v>1</v>
      </c>
      <c r="I41" s="44">
        <f>'Data Sheet'!J41</f>
        <v>0</v>
      </c>
      <c r="J41" s="44">
        <f>'Data Sheet'!K41</f>
        <v>0</v>
      </c>
      <c r="K41" s="44">
        <f>'Data Sheet'!L41</f>
        <v>0</v>
      </c>
      <c r="L41" s="44">
        <f>'Data Sheet'!M41</f>
        <v>0</v>
      </c>
      <c r="M41" s="5"/>
      <c r="N41" s="44">
        <f>'Data Sheet'!O41</f>
        <v>0</v>
      </c>
      <c r="O41" s="44">
        <f>'Data Sheet'!P41</f>
        <v>0</v>
      </c>
      <c r="P41" s="44">
        <f>'Data Sheet'!Q41</f>
        <v>0</v>
      </c>
      <c r="Q41" s="44">
        <f>'Data Sheet'!R41</f>
        <v>0</v>
      </c>
      <c r="R41" s="44">
        <f>'Data Sheet'!S41</f>
        <v>0</v>
      </c>
      <c r="S41" s="44">
        <f>'Data Sheet'!T41</f>
        <v>0</v>
      </c>
      <c r="T41" s="44">
        <f>'Data Sheet'!U41</f>
        <v>0</v>
      </c>
      <c r="U41" s="44">
        <f>'Data Sheet'!V41</f>
        <v>0</v>
      </c>
      <c r="V41" s="5"/>
      <c r="W41" s="16" t="str">
        <f t="shared" si="1"/>
        <v/>
      </c>
      <c r="X41" s="10">
        <v>0</v>
      </c>
      <c r="Y41" s="11">
        <v>0</v>
      </c>
      <c r="Z41" s="11">
        <v>0</v>
      </c>
      <c r="AA41" s="11">
        <v>0</v>
      </c>
      <c r="AB41" s="11">
        <v>1</v>
      </c>
      <c r="AC41" s="11">
        <v>0</v>
      </c>
      <c r="AD41" s="11">
        <v>0</v>
      </c>
      <c r="AE41" s="12">
        <v>0</v>
      </c>
      <c r="AG41" s="45">
        <f t="shared" si="4"/>
        <v>1</v>
      </c>
      <c r="AH41" s="45">
        <f t="shared" si="2"/>
        <v>1</v>
      </c>
      <c r="AI41" s="45">
        <f t="shared" si="5"/>
        <v>0</v>
      </c>
      <c r="AJ41" s="45">
        <f t="shared" si="6"/>
        <v>0</v>
      </c>
      <c r="AK41" s="45">
        <f t="shared" si="3"/>
        <v>0</v>
      </c>
      <c r="AL41" s="1">
        <f t="shared" si="7"/>
        <v>0</v>
      </c>
      <c r="AM41" s="1">
        <f t="shared" si="8"/>
        <v>0</v>
      </c>
      <c r="AO41" s="45">
        <f t="shared" si="9"/>
        <v>0</v>
      </c>
      <c r="AP41" s="45">
        <f t="shared" si="10"/>
        <v>0</v>
      </c>
      <c r="AQ41" s="45">
        <f t="shared" si="11"/>
        <v>0</v>
      </c>
    </row>
    <row r="42" spans="1:43" ht="15" thickTop="1" thickBot="1" x14ac:dyDescent="0.5">
      <c r="A42" s="68" t="str">
        <f>IF(ISTEXT('Data Sheet'!B42),'Data Sheet'!B42&amp;" "&amp;'Data Sheet'!A42,"")</f>
        <v>NE'QWAN STAFFORD</v>
      </c>
      <c r="B42" s="70">
        <f>'Data Sheet'!C42</f>
        <v>40</v>
      </c>
      <c r="C42" s="38"/>
      <c r="D42" s="44">
        <f>'Data Sheet'!E42</f>
        <v>1</v>
      </c>
      <c r="E42" s="44">
        <f>'Data Sheet'!F42</f>
        <v>1</v>
      </c>
      <c r="F42" s="44">
        <f>'Data Sheet'!G42</f>
        <v>3</v>
      </c>
      <c r="G42" s="44">
        <f>'Data Sheet'!H42</f>
        <v>4</v>
      </c>
      <c r="H42" s="44">
        <f>'Data Sheet'!I42</f>
        <v>0</v>
      </c>
      <c r="I42" s="44">
        <f>'Data Sheet'!J42</f>
        <v>0</v>
      </c>
      <c r="J42" s="44">
        <f>'Data Sheet'!K42</f>
        <v>0</v>
      </c>
      <c r="K42" s="44">
        <f>'Data Sheet'!L42</f>
        <v>0</v>
      </c>
      <c r="L42" s="44">
        <f>'Data Sheet'!M42</f>
        <v>0</v>
      </c>
      <c r="M42" s="5"/>
      <c r="N42" s="44">
        <f>'Data Sheet'!O42</f>
        <v>0</v>
      </c>
      <c r="O42" s="44">
        <f>'Data Sheet'!P42</f>
        <v>0</v>
      </c>
      <c r="P42" s="44">
        <f>'Data Sheet'!Q42</f>
        <v>0</v>
      </c>
      <c r="Q42" s="44">
        <f>'Data Sheet'!R42</f>
        <v>0</v>
      </c>
      <c r="R42" s="44">
        <f>'Data Sheet'!S42</f>
        <v>0</v>
      </c>
      <c r="S42" s="44">
        <f>'Data Sheet'!T42</f>
        <v>0</v>
      </c>
      <c r="T42" s="44">
        <f>'Data Sheet'!U42</f>
        <v>0</v>
      </c>
      <c r="U42" s="44">
        <f>'Data Sheet'!V42</f>
        <v>0</v>
      </c>
      <c r="V42" s="5"/>
      <c r="W42" s="16" t="str">
        <f t="shared" si="1"/>
        <v/>
      </c>
      <c r="X42" s="10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1</v>
      </c>
      <c r="AE42" s="12">
        <v>0</v>
      </c>
      <c r="AG42" s="45">
        <f t="shared" si="4"/>
        <v>1</v>
      </c>
      <c r="AH42" s="45">
        <f t="shared" si="2"/>
        <v>1</v>
      </c>
      <c r="AI42" s="45">
        <f t="shared" si="5"/>
        <v>0</v>
      </c>
      <c r="AJ42" s="45">
        <f t="shared" si="6"/>
        <v>0</v>
      </c>
      <c r="AK42" s="45">
        <f t="shared" si="3"/>
        <v>0</v>
      </c>
      <c r="AL42" s="1">
        <f t="shared" si="7"/>
        <v>0</v>
      </c>
      <c r="AM42" s="1">
        <f t="shared" si="8"/>
        <v>0</v>
      </c>
      <c r="AO42" s="45">
        <f t="shared" si="9"/>
        <v>0</v>
      </c>
      <c r="AP42" s="45">
        <f t="shared" si="10"/>
        <v>0</v>
      </c>
      <c r="AQ42" s="45">
        <f t="shared" si="11"/>
        <v>0</v>
      </c>
    </row>
    <row r="43" spans="1:43" ht="15" thickTop="1" thickBot="1" x14ac:dyDescent="0.5">
      <c r="A43" s="68" t="str">
        <f>IF(ISTEXT('Data Sheet'!B43),'Data Sheet'!B43&amp;" "&amp;'Data Sheet'!A43,"")</f>
        <v>ALBERT CAMPBELL</v>
      </c>
      <c r="B43" s="70">
        <f>'Data Sheet'!C43</f>
        <v>41</v>
      </c>
      <c r="C43" s="38"/>
      <c r="D43" s="44">
        <f>'Data Sheet'!E43</f>
        <v>1</v>
      </c>
      <c r="E43" s="44">
        <f>'Data Sheet'!F43</f>
        <v>0</v>
      </c>
      <c r="F43" s="44">
        <f>'Data Sheet'!G43</f>
        <v>3</v>
      </c>
      <c r="G43" s="44">
        <f>'Data Sheet'!H43</f>
        <v>4</v>
      </c>
      <c r="H43" s="44">
        <f>'Data Sheet'!I43</f>
        <v>0</v>
      </c>
      <c r="I43" s="44">
        <f>'Data Sheet'!J43</f>
        <v>0</v>
      </c>
      <c r="J43" s="44">
        <f>'Data Sheet'!K43</f>
        <v>0</v>
      </c>
      <c r="K43" s="44">
        <f>'Data Sheet'!L43</f>
        <v>0</v>
      </c>
      <c r="L43" s="44">
        <f>'Data Sheet'!M43</f>
        <v>0</v>
      </c>
      <c r="M43" s="5"/>
      <c r="N43" s="44">
        <f>'Data Sheet'!O43</f>
        <v>0</v>
      </c>
      <c r="O43" s="44">
        <f>'Data Sheet'!P43</f>
        <v>0</v>
      </c>
      <c r="P43" s="44">
        <f>'Data Sheet'!Q43</f>
        <v>0</v>
      </c>
      <c r="Q43" s="44">
        <f>'Data Sheet'!R43</f>
        <v>0</v>
      </c>
      <c r="R43" s="44">
        <f>'Data Sheet'!S43</f>
        <v>0</v>
      </c>
      <c r="S43" s="44">
        <f>'Data Sheet'!T43</f>
        <v>0</v>
      </c>
      <c r="T43" s="44">
        <f>'Data Sheet'!U43</f>
        <v>0</v>
      </c>
      <c r="U43" s="44">
        <f>'Data Sheet'!V43</f>
        <v>0</v>
      </c>
      <c r="V43" s="5"/>
      <c r="W43" s="16" t="str">
        <f t="shared" si="1"/>
        <v/>
      </c>
      <c r="X43" s="10">
        <v>0</v>
      </c>
      <c r="Y43" s="11">
        <v>0</v>
      </c>
      <c r="Z43" s="11">
        <v>1</v>
      </c>
      <c r="AA43" s="11">
        <v>0</v>
      </c>
      <c r="AB43" s="11">
        <v>0</v>
      </c>
      <c r="AC43" s="11">
        <v>0</v>
      </c>
      <c r="AD43" s="11">
        <v>0</v>
      </c>
      <c r="AE43" s="12">
        <v>0</v>
      </c>
      <c r="AG43" s="45">
        <f t="shared" si="4"/>
        <v>1</v>
      </c>
      <c r="AH43" s="45">
        <f t="shared" si="2"/>
        <v>1</v>
      </c>
      <c r="AI43" s="45">
        <f t="shared" si="5"/>
        <v>0</v>
      </c>
      <c r="AJ43" s="45">
        <f t="shared" si="6"/>
        <v>0</v>
      </c>
      <c r="AK43" s="45">
        <f t="shared" si="3"/>
        <v>0</v>
      </c>
      <c r="AL43" s="1">
        <f t="shared" si="7"/>
        <v>0</v>
      </c>
      <c r="AM43" s="1">
        <f t="shared" si="8"/>
        <v>0</v>
      </c>
      <c r="AO43" s="45">
        <f t="shared" si="9"/>
        <v>0</v>
      </c>
      <c r="AP43" s="45">
        <f t="shared" si="10"/>
        <v>0</v>
      </c>
      <c r="AQ43" s="45">
        <f t="shared" si="11"/>
        <v>0</v>
      </c>
    </row>
    <row r="44" spans="1:43" ht="15" thickTop="1" thickBot="1" x14ac:dyDescent="0.5">
      <c r="A44" s="68" t="str">
        <f>IF(ISTEXT('Data Sheet'!B44),'Data Sheet'!B44&amp;" "&amp;'Data Sheet'!A44,"")</f>
        <v>NASIR GARFIELD</v>
      </c>
      <c r="B44" s="70">
        <f>'Data Sheet'!C44</f>
        <v>42</v>
      </c>
      <c r="C44" s="38"/>
      <c r="D44" s="44">
        <f>'Data Sheet'!E44</f>
        <v>1</v>
      </c>
      <c r="E44" s="44">
        <f>'Data Sheet'!F44</f>
        <v>1</v>
      </c>
      <c r="F44" s="44">
        <f>'Data Sheet'!G44</f>
        <v>3</v>
      </c>
      <c r="G44" s="44">
        <f>'Data Sheet'!H44</f>
        <v>4</v>
      </c>
      <c r="H44" s="44">
        <f>'Data Sheet'!I44</f>
        <v>0</v>
      </c>
      <c r="I44" s="44">
        <f>'Data Sheet'!J44</f>
        <v>0</v>
      </c>
      <c r="J44" s="44">
        <f>'Data Sheet'!K44</f>
        <v>0</v>
      </c>
      <c r="K44" s="44">
        <f>'Data Sheet'!L44</f>
        <v>0</v>
      </c>
      <c r="L44" s="44">
        <f>'Data Sheet'!M44</f>
        <v>0</v>
      </c>
      <c r="M44" s="5"/>
      <c r="N44" s="44">
        <f>'Data Sheet'!O44</f>
        <v>0</v>
      </c>
      <c r="O44" s="44">
        <f>'Data Sheet'!P44</f>
        <v>0</v>
      </c>
      <c r="P44" s="44">
        <f>'Data Sheet'!Q44</f>
        <v>0</v>
      </c>
      <c r="Q44" s="44">
        <f>'Data Sheet'!R44</f>
        <v>0</v>
      </c>
      <c r="R44" s="44">
        <f>'Data Sheet'!S44</f>
        <v>0</v>
      </c>
      <c r="S44" s="44">
        <f>'Data Sheet'!T44</f>
        <v>0</v>
      </c>
      <c r="T44" s="44">
        <f>'Data Sheet'!U44</f>
        <v>0</v>
      </c>
      <c r="U44" s="44">
        <f>'Data Sheet'!V44</f>
        <v>0</v>
      </c>
      <c r="V44" s="5"/>
      <c r="W44" s="16" t="str">
        <f t="shared" si="1"/>
        <v/>
      </c>
      <c r="X44" s="10">
        <v>0</v>
      </c>
      <c r="Y44" s="11">
        <v>0</v>
      </c>
      <c r="Z44" s="11">
        <v>0</v>
      </c>
      <c r="AA44" s="11">
        <v>1</v>
      </c>
      <c r="AB44" s="11">
        <v>0</v>
      </c>
      <c r="AC44" s="11">
        <v>0</v>
      </c>
      <c r="AD44" s="11">
        <v>0</v>
      </c>
      <c r="AE44" s="12">
        <v>0</v>
      </c>
      <c r="AG44" s="45">
        <f t="shared" si="4"/>
        <v>1</v>
      </c>
      <c r="AH44" s="45">
        <f t="shared" si="2"/>
        <v>1</v>
      </c>
      <c r="AI44" s="45">
        <f t="shared" si="5"/>
        <v>0</v>
      </c>
      <c r="AJ44" s="45">
        <f t="shared" si="6"/>
        <v>0</v>
      </c>
      <c r="AK44" s="45">
        <f t="shared" si="3"/>
        <v>0</v>
      </c>
      <c r="AL44" s="1">
        <f t="shared" si="7"/>
        <v>0</v>
      </c>
      <c r="AM44" s="1">
        <f t="shared" si="8"/>
        <v>0</v>
      </c>
      <c r="AO44" s="45">
        <f t="shared" si="9"/>
        <v>0</v>
      </c>
      <c r="AP44" s="45">
        <f t="shared" si="10"/>
        <v>0</v>
      </c>
      <c r="AQ44" s="45">
        <f t="shared" si="11"/>
        <v>0</v>
      </c>
    </row>
    <row r="45" spans="1:43" ht="15" thickTop="1" thickBot="1" x14ac:dyDescent="0.5">
      <c r="A45" s="68" t="str">
        <f>IF(ISTEXT('Data Sheet'!B45),'Data Sheet'!B45&amp;" "&amp;'Data Sheet'!A45,"")</f>
        <v>KELIS SCOTT</v>
      </c>
      <c r="B45" s="70">
        <f>'Data Sheet'!C45</f>
        <v>43</v>
      </c>
      <c r="C45" s="38"/>
      <c r="D45" s="44">
        <f>'Data Sheet'!E45</f>
        <v>0</v>
      </c>
      <c r="E45" s="44">
        <f>'Data Sheet'!F45</f>
        <v>1</v>
      </c>
      <c r="F45" s="44">
        <f>'Data Sheet'!G45</f>
        <v>3</v>
      </c>
      <c r="G45" s="44">
        <f>'Data Sheet'!H45</f>
        <v>4</v>
      </c>
      <c r="H45" s="44">
        <f>'Data Sheet'!I45</f>
        <v>0</v>
      </c>
      <c r="I45" s="44">
        <f>'Data Sheet'!J45</f>
        <v>0</v>
      </c>
      <c r="J45" s="44">
        <f>'Data Sheet'!K45</f>
        <v>0</v>
      </c>
      <c r="K45" s="44">
        <f>'Data Sheet'!L45</f>
        <v>0</v>
      </c>
      <c r="L45" s="44">
        <f>'Data Sheet'!M45</f>
        <v>0</v>
      </c>
      <c r="M45" s="5"/>
      <c r="N45" s="44">
        <f>'Data Sheet'!O45</f>
        <v>0</v>
      </c>
      <c r="O45" s="44">
        <f>'Data Sheet'!P45</f>
        <v>0</v>
      </c>
      <c r="P45" s="44">
        <f>'Data Sheet'!Q45</f>
        <v>0</v>
      </c>
      <c r="Q45" s="44">
        <f>'Data Sheet'!R45</f>
        <v>0</v>
      </c>
      <c r="R45" s="44">
        <f>'Data Sheet'!S45</f>
        <v>0</v>
      </c>
      <c r="S45" s="44">
        <f>'Data Sheet'!T45</f>
        <v>0</v>
      </c>
      <c r="T45" s="44">
        <f>'Data Sheet'!U45</f>
        <v>0</v>
      </c>
      <c r="U45" s="44">
        <f>'Data Sheet'!V45</f>
        <v>0</v>
      </c>
      <c r="V45" s="5"/>
      <c r="W45" s="16" t="str">
        <f t="shared" si="1"/>
        <v/>
      </c>
      <c r="X45" s="10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1</v>
      </c>
      <c r="AD45" s="11">
        <v>0</v>
      </c>
      <c r="AE45" s="12">
        <v>0</v>
      </c>
      <c r="AG45" s="45">
        <f t="shared" si="4"/>
        <v>1</v>
      </c>
      <c r="AH45" s="45">
        <f t="shared" si="2"/>
        <v>1</v>
      </c>
      <c r="AI45" s="45">
        <f t="shared" si="5"/>
        <v>0</v>
      </c>
      <c r="AJ45" s="45">
        <f t="shared" si="6"/>
        <v>0</v>
      </c>
      <c r="AK45" s="45">
        <f t="shared" si="3"/>
        <v>0</v>
      </c>
      <c r="AL45" s="1">
        <f t="shared" si="7"/>
        <v>0</v>
      </c>
      <c r="AM45" s="1">
        <f t="shared" si="8"/>
        <v>0</v>
      </c>
      <c r="AO45" s="45">
        <f t="shared" si="9"/>
        <v>0</v>
      </c>
      <c r="AP45" s="45">
        <f t="shared" si="10"/>
        <v>0</v>
      </c>
      <c r="AQ45" s="45">
        <f t="shared" si="11"/>
        <v>0</v>
      </c>
    </row>
    <row r="46" spans="1:43" ht="15" thickTop="1" thickBot="1" x14ac:dyDescent="0.5">
      <c r="A46" s="68" t="str">
        <f>IF(ISTEXT('Data Sheet'!B46),'Data Sheet'!B46&amp;" "&amp;'Data Sheet'!A46,"")</f>
        <v>DIANDRE WILLIAMS</v>
      </c>
      <c r="B46" s="70">
        <f>'Data Sheet'!C46</f>
        <v>44</v>
      </c>
      <c r="C46" s="38"/>
      <c r="D46" s="44">
        <f>'Data Sheet'!E46</f>
        <v>1</v>
      </c>
      <c r="E46" s="44">
        <f>'Data Sheet'!F46</f>
        <v>1</v>
      </c>
      <c r="F46" s="44">
        <f>'Data Sheet'!G46</f>
        <v>3</v>
      </c>
      <c r="G46" s="44">
        <f>'Data Sheet'!H46</f>
        <v>4</v>
      </c>
      <c r="H46" s="44">
        <f>'Data Sheet'!I46</f>
        <v>0</v>
      </c>
      <c r="I46" s="44">
        <f>'Data Sheet'!J46</f>
        <v>0</v>
      </c>
      <c r="J46" s="44">
        <f>'Data Sheet'!K46</f>
        <v>0</v>
      </c>
      <c r="K46" s="44">
        <f>'Data Sheet'!L46</f>
        <v>0</v>
      </c>
      <c r="L46" s="44">
        <f>'Data Sheet'!M46</f>
        <v>0</v>
      </c>
      <c r="M46" s="5"/>
      <c r="N46" s="44">
        <f>'Data Sheet'!O46</f>
        <v>0</v>
      </c>
      <c r="O46" s="44">
        <f>'Data Sheet'!P46</f>
        <v>1</v>
      </c>
      <c r="P46" s="44">
        <f>'Data Sheet'!Q46</f>
        <v>0</v>
      </c>
      <c r="Q46" s="44">
        <f>'Data Sheet'!R46</f>
        <v>0</v>
      </c>
      <c r="R46" s="44">
        <f>'Data Sheet'!S46</f>
        <v>0</v>
      </c>
      <c r="S46" s="44">
        <f>'Data Sheet'!T46</f>
        <v>0</v>
      </c>
      <c r="T46" s="44">
        <f>'Data Sheet'!U46</f>
        <v>0</v>
      </c>
      <c r="U46" s="44">
        <f>'Data Sheet'!V46</f>
        <v>0</v>
      </c>
      <c r="V46" s="5"/>
      <c r="W46" s="16" t="str">
        <f t="shared" si="1"/>
        <v/>
      </c>
      <c r="X46" s="10">
        <v>0</v>
      </c>
      <c r="Y46" s="11">
        <v>1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2">
        <v>0</v>
      </c>
      <c r="AG46" s="45">
        <f t="shared" si="4"/>
        <v>1</v>
      </c>
      <c r="AH46" s="45">
        <f t="shared" si="2"/>
        <v>1</v>
      </c>
      <c r="AI46" s="45">
        <f t="shared" si="5"/>
        <v>0</v>
      </c>
      <c r="AJ46" s="45">
        <f t="shared" si="6"/>
        <v>0</v>
      </c>
      <c r="AK46" s="45">
        <f t="shared" si="3"/>
        <v>1</v>
      </c>
      <c r="AL46" s="1">
        <f t="shared" si="7"/>
        <v>1</v>
      </c>
      <c r="AM46" s="1">
        <f t="shared" si="8"/>
        <v>0</v>
      </c>
      <c r="AO46" s="45">
        <f t="shared" si="9"/>
        <v>1</v>
      </c>
      <c r="AP46" s="45">
        <f t="shared" si="10"/>
        <v>1</v>
      </c>
      <c r="AQ46" s="45">
        <f t="shared" si="11"/>
        <v>0</v>
      </c>
    </row>
    <row r="47" spans="1:43" ht="15" thickTop="1" thickBot="1" x14ac:dyDescent="0.5">
      <c r="A47" s="68" t="str">
        <f>IF(ISTEXT('Data Sheet'!B47),'Data Sheet'!B47&amp;" "&amp;'Data Sheet'!A47,"")</f>
        <v>MAHIIYA FLANDERS</v>
      </c>
      <c r="B47" s="70">
        <f>'Data Sheet'!C47</f>
        <v>45</v>
      </c>
      <c r="C47" s="38"/>
      <c r="D47" s="44">
        <f>'Data Sheet'!E47</f>
        <v>0</v>
      </c>
      <c r="E47" s="44">
        <f>'Data Sheet'!F47</f>
        <v>1</v>
      </c>
      <c r="F47" s="44">
        <f>'Data Sheet'!G47</f>
        <v>3</v>
      </c>
      <c r="G47" s="44">
        <f>'Data Sheet'!H47</f>
        <v>2</v>
      </c>
      <c r="H47" s="44">
        <f>'Data Sheet'!I47</f>
        <v>1</v>
      </c>
      <c r="I47" s="44">
        <f>'Data Sheet'!J47</f>
        <v>0</v>
      </c>
      <c r="J47" s="44">
        <f>'Data Sheet'!K47</f>
        <v>0</v>
      </c>
      <c r="K47" s="44">
        <f>'Data Sheet'!L47</f>
        <v>0</v>
      </c>
      <c r="L47" s="44">
        <f>'Data Sheet'!M47</f>
        <v>0</v>
      </c>
      <c r="M47" s="5"/>
      <c r="N47" s="44">
        <f>'Data Sheet'!O47</f>
        <v>0</v>
      </c>
      <c r="O47" s="44">
        <f>'Data Sheet'!P47</f>
        <v>0</v>
      </c>
      <c r="P47" s="44">
        <f>'Data Sheet'!Q47</f>
        <v>0</v>
      </c>
      <c r="Q47" s="44">
        <f>'Data Sheet'!R47</f>
        <v>1</v>
      </c>
      <c r="R47" s="44">
        <f>'Data Sheet'!S47</f>
        <v>0</v>
      </c>
      <c r="S47" s="44">
        <f>'Data Sheet'!T47</f>
        <v>0</v>
      </c>
      <c r="T47" s="44">
        <f>'Data Sheet'!U47</f>
        <v>0</v>
      </c>
      <c r="U47" s="44">
        <f>'Data Sheet'!V47</f>
        <v>0</v>
      </c>
      <c r="V47" s="5"/>
      <c r="W47" s="16" t="str">
        <f t="shared" si="1"/>
        <v/>
      </c>
      <c r="X47" s="10">
        <v>0</v>
      </c>
      <c r="Y47" s="11">
        <v>0</v>
      </c>
      <c r="Z47" s="11">
        <v>0</v>
      </c>
      <c r="AA47" s="11">
        <v>1</v>
      </c>
      <c r="AB47" s="11">
        <v>0</v>
      </c>
      <c r="AC47" s="11">
        <v>0</v>
      </c>
      <c r="AD47" s="11">
        <v>0</v>
      </c>
      <c r="AE47" s="12">
        <v>0</v>
      </c>
      <c r="AG47" s="45">
        <f t="shared" si="4"/>
        <v>1</v>
      </c>
      <c r="AH47" s="45">
        <f t="shared" si="2"/>
        <v>1</v>
      </c>
      <c r="AI47" s="45">
        <f t="shared" si="5"/>
        <v>0</v>
      </c>
      <c r="AJ47" s="45">
        <f t="shared" si="6"/>
        <v>0</v>
      </c>
      <c r="AK47" s="45">
        <f t="shared" si="3"/>
        <v>1</v>
      </c>
      <c r="AL47" s="1">
        <f t="shared" si="7"/>
        <v>1</v>
      </c>
      <c r="AM47" s="1">
        <f t="shared" si="8"/>
        <v>0</v>
      </c>
      <c r="AO47" s="45">
        <f t="shared" si="9"/>
        <v>1</v>
      </c>
      <c r="AP47" s="45">
        <f t="shared" si="10"/>
        <v>1</v>
      </c>
      <c r="AQ47" s="45">
        <f t="shared" si="11"/>
        <v>0</v>
      </c>
    </row>
    <row r="48" spans="1:43" ht="15" thickTop="1" thickBot="1" x14ac:dyDescent="0.5">
      <c r="A48" s="68" t="str">
        <f>IF(ISTEXT('Data Sheet'!B48),'Data Sheet'!B48&amp;" "&amp;'Data Sheet'!A48,"")</f>
        <v>MAVERICK LAIR</v>
      </c>
      <c r="B48" s="70">
        <f>'Data Sheet'!C48</f>
        <v>46</v>
      </c>
      <c r="C48" s="38"/>
      <c r="D48" s="44">
        <f>'Data Sheet'!E48</f>
        <v>1</v>
      </c>
      <c r="E48" s="44">
        <f>'Data Sheet'!F48</f>
        <v>0</v>
      </c>
      <c r="F48" s="44">
        <f>'Data Sheet'!G48</f>
        <v>3</v>
      </c>
      <c r="G48" s="44">
        <f>'Data Sheet'!H48</f>
        <v>2</v>
      </c>
      <c r="H48" s="44">
        <f>'Data Sheet'!I48</f>
        <v>0</v>
      </c>
      <c r="I48" s="44">
        <f>'Data Sheet'!J48</f>
        <v>0</v>
      </c>
      <c r="J48" s="44">
        <f>'Data Sheet'!K48</f>
        <v>0</v>
      </c>
      <c r="K48" s="44">
        <f>'Data Sheet'!L48</f>
        <v>0</v>
      </c>
      <c r="L48" s="44">
        <f>'Data Sheet'!M48</f>
        <v>0</v>
      </c>
      <c r="M48" s="5"/>
      <c r="N48" s="44">
        <f>'Data Sheet'!O48</f>
        <v>0</v>
      </c>
      <c r="O48" s="44">
        <f>'Data Sheet'!P48</f>
        <v>0</v>
      </c>
      <c r="P48" s="44">
        <f>'Data Sheet'!Q48</f>
        <v>0</v>
      </c>
      <c r="Q48" s="44">
        <f>'Data Sheet'!R48</f>
        <v>0</v>
      </c>
      <c r="R48" s="44">
        <f>'Data Sheet'!S48</f>
        <v>0</v>
      </c>
      <c r="S48" s="44">
        <f>'Data Sheet'!T48</f>
        <v>0</v>
      </c>
      <c r="T48" s="44">
        <f>'Data Sheet'!U48</f>
        <v>0</v>
      </c>
      <c r="U48" s="44">
        <f>'Data Sheet'!V48</f>
        <v>1</v>
      </c>
      <c r="V48" s="5"/>
      <c r="W48" s="16" t="str">
        <f t="shared" si="1"/>
        <v/>
      </c>
      <c r="X48" s="10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2">
        <v>1</v>
      </c>
      <c r="AG48" s="45">
        <f t="shared" si="4"/>
        <v>1</v>
      </c>
      <c r="AH48" s="45">
        <f t="shared" si="2"/>
        <v>1</v>
      </c>
      <c r="AI48" s="45">
        <f t="shared" si="5"/>
        <v>0</v>
      </c>
      <c r="AJ48" s="45">
        <f t="shared" si="6"/>
        <v>0</v>
      </c>
      <c r="AK48" s="45">
        <f t="shared" si="3"/>
        <v>1</v>
      </c>
      <c r="AL48" s="1">
        <f t="shared" si="7"/>
        <v>1</v>
      </c>
      <c r="AM48" s="1">
        <f t="shared" si="8"/>
        <v>0</v>
      </c>
      <c r="AO48" s="45">
        <f t="shared" si="9"/>
        <v>1</v>
      </c>
      <c r="AP48" s="45">
        <f t="shared" si="10"/>
        <v>1</v>
      </c>
      <c r="AQ48" s="45">
        <f t="shared" si="11"/>
        <v>0</v>
      </c>
    </row>
    <row r="49" spans="1:43" ht="15" thickTop="1" thickBot="1" x14ac:dyDescent="0.5">
      <c r="A49" s="68" t="str">
        <f>IF(ISTEXT('Data Sheet'!B49),'Data Sheet'!B49&amp;" "&amp;'Data Sheet'!A49,"")</f>
        <v>RORY PETERS</v>
      </c>
      <c r="B49" s="70">
        <f>'Data Sheet'!C49</f>
        <v>47</v>
      </c>
      <c r="C49" s="38"/>
      <c r="D49" s="44">
        <f>'Data Sheet'!E49</f>
        <v>1</v>
      </c>
      <c r="E49" s="44">
        <f>'Data Sheet'!F49</f>
        <v>0</v>
      </c>
      <c r="F49" s="44">
        <f>'Data Sheet'!G49</f>
        <v>3</v>
      </c>
      <c r="G49" s="44">
        <f>'Data Sheet'!H49</f>
        <v>4</v>
      </c>
      <c r="H49" s="44">
        <f>'Data Sheet'!I49</f>
        <v>0</v>
      </c>
      <c r="I49" s="44">
        <f>'Data Sheet'!J49</f>
        <v>0</v>
      </c>
      <c r="J49" s="44">
        <f>'Data Sheet'!K49</f>
        <v>0</v>
      </c>
      <c r="K49" s="44">
        <f>'Data Sheet'!L49</f>
        <v>0</v>
      </c>
      <c r="L49" s="44">
        <f>'Data Sheet'!M49</f>
        <v>0</v>
      </c>
      <c r="M49" s="5"/>
      <c r="N49" s="44">
        <f>'Data Sheet'!O49</f>
        <v>0</v>
      </c>
      <c r="O49" s="44">
        <f>'Data Sheet'!P49</f>
        <v>0</v>
      </c>
      <c r="P49" s="44">
        <f>'Data Sheet'!Q49</f>
        <v>0</v>
      </c>
      <c r="Q49" s="44">
        <f>'Data Sheet'!R49</f>
        <v>0</v>
      </c>
      <c r="R49" s="44">
        <f>'Data Sheet'!S49</f>
        <v>0</v>
      </c>
      <c r="S49" s="44">
        <f>'Data Sheet'!T49</f>
        <v>0</v>
      </c>
      <c r="T49" s="44">
        <f>'Data Sheet'!U49</f>
        <v>0</v>
      </c>
      <c r="U49" s="44">
        <f>'Data Sheet'!V49</f>
        <v>0</v>
      </c>
      <c r="V49" s="5"/>
      <c r="W49" s="16" t="str">
        <f t="shared" si="1"/>
        <v/>
      </c>
      <c r="X49" s="10">
        <v>0</v>
      </c>
      <c r="Y49" s="11">
        <v>1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2">
        <v>0</v>
      </c>
      <c r="AG49" s="45">
        <f t="shared" si="4"/>
        <v>1</v>
      </c>
      <c r="AH49" s="45">
        <f t="shared" si="2"/>
        <v>1</v>
      </c>
      <c r="AI49" s="45">
        <f t="shared" si="5"/>
        <v>0</v>
      </c>
      <c r="AJ49" s="45">
        <f t="shared" si="6"/>
        <v>0</v>
      </c>
      <c r="AK49" s="45">
        <f t="shared" si="3"/>
        <v>0</v>
      </c>
      <c r="AL49" s="1">
        <f t="shared" si="7"/>
        <v>0</v>
      </c>
      <c r="AM49" s="1">
        <f t="shared" si="8"/>
        <v>0</v>
      </c>
      <c r="AO49" s="45">
        <f t="shared" si="9"/>
        <v>0</v>
      </c>
      <c r="AP49" s="45">
        <f t="shared" si="10"/>
        <v>0</v>
      </c>
      <c r="AQ49" s="45">
        <f t="shared" si="11"/>
        <v>0</v>
      </c>
    </row>
    <row r="50" spans="1:43" ht="15" thickTop="1" thickBot="1" x14ac:dyDescent="0.5">
      <c r="A50" s="68" t="str">
        <f>IF(ISTEXT('Data Sheet'!B50),'Data Sheet'!B50&amp;" "&amp;'Data Sheet'!A50,"")</f>
        <v>HALEY HEILMEIER</v>
      </c>
      <c r="B50" s="70">
        <f>'Data Sheet'!C50</f>
        <v>48</v>
      </c>
      <c r="C50" s="38"/>
      <c r="D50" s="44">
        <f>'Data Sheet'!E50</f>
        <v>0</v>
      </c>
      <c r="E50" s="44">
        <f>'Data Sheet'!F50</f>
        <v>0</v>
      </c>
      <c r="F50" s="44">
        <f>'Data Sheet'!G50</f>
        <v>3</v>
      </c>
      <c r="G50" s="44">
        <f>'Data Sheet'!H50</f>
        <v>1</v>
      </c>
      <c r="H50" s="44">
        <f>'Data Sheet'!I50</f>
        <v>1</v>
      </c>
      <c r="I50" s="44">
        <f>'Data Sheet'!J50</f>
        <v>0</v>
      </c>
      <c r="J50" s="44">
        <f>'Data Sheet'!K50</f>
        <v>0</v>
      </c>
      <c r="K50" s="44">
        <f>'Data Sheet'!L50</f>
        <v>0</v>
      </c>
      <c r="L50" s="44">
        <f>'Data Sheet'!M50</f>
        <v>0</v>
      </c>
      <c r="M50" s="5"/>
      <c r="N50" s="44">
        <f>'Data Sheet'!O50</f>
        <v>0</v>
      </c>
      <c r="O50" s="44">
        <f>'Data Sheet'!P50</f>
        <v>0</v>
      </c>
      <c r="P50" s="44">
        <f>'Data Sheet'!Q50</f>
        <v>1</v>
      </c>
      <c r="Q50" s="44">
        <f>'Data Sheet'!R50</f>
        <v>0</v>
      </c>
      <c r="R50" s="44">
        <f>'Data Sheet'!S50</f>
        <v>0</v>
      </c>
      <c r="S50" s="44">
        <f>'Data Sheet'!T50</f>
        <v>0</v>
      </c>
      <c r="T50" s="44">
        <f>'Data Sheet'!U50</f>
        <v>0</v>
      </c>
      <c r="U50" s="44">
        <f>'Data Sheet'!V50</f>
        <v>0</v>
      </c>
      <c r="V50" s="5"/>
      <c r="W50" s="16" t="str">
        <f t="shared" si="1"/>
        <v/>
      </c>
      <c r="X50" s="10">
        <v>0</v>
      </c>
      <c r="Y50" s="11">
        <v>0</v>
      </c>
      <c r="Z50" s="11">
        <v>1</v>
      </c>
      <c r="AA50" s="11">
        <v>0</v>
      </c>
      <c r="AB50" s="11">
        <v>0</v>
      </c>
      <c r="AC50" s="11">
        <v>0</v>
      </c>
      <c r="AD50" s="11">
        <v>0</v>
      </c>
      <c r="AE50" s="12">
        <v>0</v>
      </c>
      <c r="AG50" s="45">
        <f t="shared" si="4"/>
        <v>1</v>
      </c>
      <c r="AH50" s="45">
        <f t="shared" si="2"/>
        <v>1</v>
      </c>
      <c r="AI50" s="45">
        <f t="shared" si="5"/>
        <v>0</v>
      </c>
      <c r="AJ50" s="45">
        <f t="shared" si="6"/>
        <v>0</v>
      </c>
      <c r="AK50" s="45">
        <f t="shared" si="3"/>
        <v>1</v>
      </c>
      <c r="AL50" s="1">
        <f t="shared" si="7"/>
        <v>1</v>
      </c>
      <c r="AM50" s="1">
        <f t="shared" si="8"/>
        <v>0</v>
      </c>
      <c r="AO50" s="45">
        <f t="shared" si="9"/>
        <v>1</v>
      </c>
      <c r="AP50" s="45">
        <f t="shared" si="10"/>
        <v>1</v>
      </c>
      <c r="AQ50" s="45">
        <f t="shared" si="11"/>
        <v>0</v>
      </c>
    </row>
    <row r="51" spans="1:43" ht="15" thickTop="1" thickBot="1" x14ac:dyDescent="0.5">
      <c r="A51" s="68" t="str">
        <f>IF(ISTEXT('Data Sheet'!B51),'Data Sheet'!B51&amp;" "&amp;'Data Sheet'!A51,"")</f>
        <v>NAOMI LEE</v>
      </c>
      <c r="B51" s="70">
        <f>'Data Sheet'!C51</f>
        <v>49</v>
      </c>
      <c r="C51" s="38"/>
      <c r="D51" s="44">
        <f>'Data Sheet'!E51</f>
        <v>0</v>
      </c>
      <c r="E51" s="44">
        <f>'Data Sheet'!F51</f>
        <v>1</v>
      </c>
      <c r="F51" s="44">
        <f>'Data Sheet'!G51</f>
        <v>3</v>
      </c>
      <c r="G51" s="44">
        <f>'Data Sheet'!H51</f>
        <v>4</v>
      </c>
      <c r="H51" s="44">
        <f>'Data Sheet'!I51</f>
        <v>0</v>
      </c>
      <c r="I51" s="44">
        <f>'Data Sheet'!J51</f>
        <v>0</v>
      </c>
      <c r="J51" s="44">
        <f>'Data Sheet'!K51</f>
        <v>0</v>
      </c>
      <c r="K51" s="44">
        <f>'Data Sheet'!L51</f>
        <v>0</v>
      </c>
      <c r="L51" s="44">
        <f>'Data Sheet'!M51</f>
        <v>0</v>
      </c>
      <c r="M51" s="5"/>
      <c r="N51" s="44">
        <f>'Data Sheet'!O51</f>
        <v>0</v>
      </c>
      <c r="O51" s="44">
        <f>'Data Sheet'!P51</f>
        <v>0</v>
      </c>
      <c r="P51" s="44">
        <f>'Data Sheet'!Q51</f>
        <v>0</v>
      </c>
      <c r="Q51" s="44">
        <f>'Data Sheet'!R51</f>
        <v>0</v>
      </c>
      <c r="R51" s="44">
        <f>'Data Sheet'!S51</f>
        <v>0</v>
      </c>
      <c r="S51" s="44">
        <f>'Data Sheet'!T51</f>
        <v>0</v>
      </c>
      <c r="T51" s="44">
        <f>'Data Sheet'!U51</f>
        <v>0</v>
      </c>
      <c r="U51" s="44">
        <f>'Data Sheet'!V51</f>
        <v>0</v>
      </c>
      <c r="V51" s="5"/>
      <c r="W51" s="16" t="str">
        <f t="shared" si="1"/>
        <v/>
      </c>
      <c r="X51" s="10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1</v>
      </c>
      <c r="AD51" s="11">
        <v>0</v>
      </c>
      <c r="AE51" s="12">
        <v>0</v>
      </c>
      <c r="AG51" s="45">
        <f t="shared" si="4"/>
        <v>1</v>
      </c>
      <c r="AH51" s="45">
        <f t="shared" si="2"/>
        <v>1</v>
      </c>
      <c r="AI51" s="45">
        <f t="shared" si="5"/>
        <v>0</v>
      </c>
      <c r="AJ51" s="45">
        <f t="shared" si="6"/>
        <v>0</v>
      </c>
      <c r="AK51" s="45">
        <f t="shared" si="3"/>
        <v>0</v>
      </c>
      <c r="AL51" s="1">
        <f t="shared" si="7"/>
        <v>0</v>
      </c>
      <c r="AM51" s="1">
        <f t="shared" si="8"/>
        <v>0</v>
      </c>
      <c r="AO51" s="45">
        <f t="shared" si="9"/>
        <v>0</v>
      </c>
      <c r="AP51" s="45">
        <f t="shared" si="10"/>
        <v>0</v>
      </c>
      <c r="AQ51" s="45">
        <f t="shared" si="11"/>
        <v>0</v>
      </c>
    </row>
    <row r="52" spans="1:43" ht="15" thickTop="1" thickBot="1" x14ac:dyDescent="0.5">
      <c r="A52" s="68" t="str">
        <f>IF(ISTEXT('Data Sheet'!B52),'Data Sheet'!B52&amp;" "&amp;'Data Sheet'!A52,"")</f>
        <v>JACKSON RAKER</v>
      </c>
      <c r="B52" s="70">
        <f>'Data Sheet'!C52</f>
        <v>50</v>
      </c>
      <c r="C52" s="38"/>
      <c r="D52" s="44">
        <f>'Data Sheet'!E52</f>
        <v>1</v>
      </c>
      <c r="E52" s="44">
        <f>'Data Sheet'!F52</f>
        <v>0</v>
      </c>
      <c r="F52" s="44">
        <f>'Data Sheet'!G52</f>
        <v>3</v>
      </c>
      <c r="G52" s="44">
        <f>'Data Sheet'!H52</f>
        <v>4</v>
      </c>
      <c r="H52" s="44">
        <f>'Data Sheet'!I52</f>
        <v>0</v>
      </c>
      <c r="I52" s="44">
        <f>'Data Sheet'!J52</f>
        <v>0</v>
      </c>
      <c r="J52" s="44">
        <f>'Data Sheet'!K52</f>
        <v>0</v>
      </c>
      <c r="K52" s="44">
        <f>'Data Sheet'!L52</f>
        <v>0</v>
      </c>
      <c r="L52" s="44">
        <f>'Data Sheet'!M52</f>
        <v>0</v>
      </c>
      <c r="M52" s="5"/>
      <c r="N52" s="44">
        <f>'Data Sheet'!O52</f>
        <v>0</v>
      </c>
      <c r="O52" s="44">
        <f>'Data Sheet'!P52</f>
        <v>0</v>
      </c>
      <c r="P52" s="44">
        <f>'Data Sheet'!Q52</f>
        <v>0</v>
      </c>
      <c r="Q52" s="44">
        <f>'Data Sheet'!R52</f>
        <v>0</v>
      </c>
      <c r="R52" s="44">
        <f>'Data Sheet'!S52</f>
        <v>0</v>
      </c>
      <c r="S52" s="44">
        <f>'Data Sheet'!T52</f>
        <v>0</v>
      </c>
      <c r="T52" s="44">
        <f>'Data Sheet'!U52</f>
        <v>0</v>
      </c>
      <c r="U52" s="44">
        <f>'Data Sheet'!V52</f>
        <v>0</v>
      </c>
      <c r="V52" s="5"/>
      <c r="W52" s="16" t="str">
        <f t="shared" si="1"/>
        <v/>
      </c>
      <c r="X52" s="10">
        <v>1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2">
        <v>0</v>
      </c>
      <c r="AG52" s="45">
        <f t="shared" si="4"/>
        <v>1</v>
      </c>
      <c r="AH52" s="45">
        <f t="shared" si="2"/>
        <v>1</v>
      </c>
      <c r="AI52" s="45">
        <f t="shared" si="5"/>
        <v>0</v>
      </c>
      <c r="AJ52" s="45">
        <f t="shared" si="6"/>
        <v>0</v>
      </c>
      <c r="AK52" s="45">
        <f t="shared" si="3"/>
        <v>0</v>
      </c>
      <c r="AL52" s="1">
        <f t="shared" si="7"/>
        <v>0</v>
      </c>
      <c r="AM52" s="1">
        <f t="shared" si="8"/>
        <v>0</v>
      </c>
      <c r="AO52" s="45">
        <f t="shared" si="9"/>
        <v>0</v>
      </c>
      <c r="AP52" s="45">
        <f t="shared" si="10"/>
        <v>0</v>
      </c>
      <c r="AQ52" s="45">
        <f t="shared" si="11"/>
        <v>0</v>
      </c>
    </row>
    <row r="53" spans="1:43" ht="15" thickTop="1" thickBot="1" x14ac:dyDescent="0.5">
      <c r="A53" s="68" t="str">
        <f>IF(ISTEXT('Data Sheet'!B53),'Data Sheet'!B53&amp;" "&amp;'Data Sheet'!A53,"")</f>
        <v>KARMA RATLIFF</v>
      </c>
      <c r="B53" s="70">
        <f>'Data Sheet'!C53</f>
        <v>51</v>
      </c>
      <c r="C53" s="38"/>
      <c r="D53" s="44">
        <f>'Data Sheet'!E53</f>
        <v>0</v>
      </c>
      <c r="E53" s="44">
        <f>'Data Sheet'!F53</f>
        <v>1</v>
      </c>
      <c r="F53" s="44">
        <f>'Data Sheet'!G53</f>
        <v>3</v>
      </c>
      <c r="G53" s="44">
        <f>'Data Sheet'!H53</f>
        <v>4</v>
      </c>
      <c r="H53" s="44">
        <f>'Data Sheet'!I53</f>
        <v>0</v>
      </c>
      <c r="I53" s="44">
        <f>'Data Sheet'!J53</f>
        <v>0</v>
      </c>
      <c r="J53" s="44">
        <f>'Data Sheet'!K53</f>
        <v>0</v>
      </c>
      <c r="K53" s="44">
        <f>'Data Sheet'!L53</f>
        <v>0</v>
      </c>
      <c r="L53" s="44">
        <f>'Data Sheet'!M53</f>
        <v>0</v>
      </c>
      <c r="M53" s="5"/>
      <c r="N53" s="44">
        <f>'Data Sheet'!O53</f>
        <v>0</v>
      </c>
      <c r="O53" s="44">
        <f>'Data Sheet'!P53</f>
        <v>0</v>
      </c>
      <c r="P53" s="44">
        <f>'Data Sheet'!Q53</f>
        <v>0</v>
      </c>
      <c r="Q53" s="44">
        <f>'Data Sheet'!R53</f>
        <v>0</v>
      </c>
      <c r="R53" s="44">
        <f>'Data Sheet'!S53</f>
        <v>0</v>
      </c>
      <c r="S53" s="44">
        <f>'Data Sheet'!T53</f>
        <v>0</v>
      </c>
      <c r="T53" s="44">
        <f>'Data Sheet'!U53</f>
        <v>0</v>
      </c>
      <c r="U53" s="44">
        <f>'Data Sheet'!V53</f>
        <v>0</v>
      </c>
      <c r="V53" s="5"/>
      <c r="W53" s="16" t="str">
        <f t="shared" si="1"/>
        <v/>
      </c>
      <c r="X53" s="10">
        <v>0</v>
      </c>
      <c r="Y53" s="11">
        <v>1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2">
        <v>0</v>
      </c>
      <c r="AG53" s="45">
        <f t="shared" si="4"/>
        <v>1</v>
      </c>
      <c r="AH53" s="45">
        <f t="shared" si="2"/>
        <v>1</v>
      </c>
      <c r="AI53" s="45">
        <f t="shared" si="5"/>
        <v>0</v>
      </c>
      <c r="AJ53" s="45">
        <f t="shared" si="6"/>
        <v>0</v>
      </c>
      <c r="AK53" s="45">
        <f t="shared" si="3"/>
        <v>0</v>
      </c>
      <c r="AL53" s="1">
        <f t="shared" si="7"/>
        <v>0</v>
      </c>
      <c r="AM53" s="1">
        <f t="shared" si="8"/>
        <v>0</v>
      </c>
      <c r="AO53" s="45">
        <f t="shared" si="9"/>
        <v>0</v>
      </c>
      <c r="AP53" s="45">
        <f t="shared" si="10"/>
        <v>0</v>
      </c>
      <c r="AQ53" s="45">
        <f t="shared" si="11"/>
        <v>0</v>
      </c>
    </row>
    <row r="54" spans="1:43" ht="15" thickTop="1" thickBot="1" x14ac:dyDescent="0.5">
      <c r="A54" s="68" t="str">
        <f>IF(ISTEXT('Data Sheet'!B54),'Data Sheet'!B54&amp;" "&amp;'Data Sheet'!A54,"")</f>
        <v>JACKSON MACKEY</v>
      </c>
      <c r="B54" s="70">
        <f>'Data Sheet'!C54</f>
        <v>52</v>
      </c>
      <c r="C54" s="38"/>
      <c r="D54" s="44">
        <f>'Data Sheet'!E54</f>
        <v>1</v>
      </c>
      <c r="E54" s="44">
        <f>'Data Sheet'!F54</f>
        <v>0</v>
      </c>
      <c r="F54" s="44">
        <f>'Data Sheet'!G54</f>
        <v>3</v>
      </c>
      <c r="G54" s="44">
        <f>'Data Sheet'!H54</f>
        <v>4</v>
      </c>
      <c r="H54" s="44">
        <f>'Data Sheet'!I54</f>
        <v>0</v>
      </c>
      <c r="I54" s="44">
        <f>'Data Sheet'!J54</f>
        <v>0</v>
      </c>
      <c r="J54" s="44">
        <f>'Data Sheet'!K54</f>
        <v>0</v>
      </c>
      <c r="K54" s="44">
        <f>'Data Sheet'!L54</f>
        <v>0</v>
      </c>
      <c r="L54" s="44">
        <f>'Data Sheet'!M54</f>
        <v>0</v>
      </c>
      <c r="M54" s="5"/>
      <c r="N54" s="44">
        <f>'Data Sheet'!O54</f>
        <v>0</v>
      </c>
      <c r="O54" s="44">
        <f>'Data Sheet'!P54</f>
        <v>0</v>
      </c>
      <c r="P54" s="44">
        <f>'Data Sheet'!Q54</f>
        <v>0</v>
      </c>
      <c r="Q54" s="44">
        <f>'Data Sheet'!R54</f>
        <v>0</v>
      </c>
      <c r="R54" s="44">
        <f>'Data Sheet'!S54</f>
        <v>-1</v>
      </c>
      <c r="S54" s="44">
        <f>'Data Sheet'!T54</f>
        <v>-1</v>
      </c>
      <c r="T54" s="44">
        <f>'Data Sheet'!U54</f>
        <v>0</v>
      </c>
      <c r="U54" s="44">
        <f>'Data Sheet'!V54</f>
        <v>0</v>
      </c>
      <c r="V54" s="5"/>
      <c r="W54" s="16" t="str">
        <f t="shared" si="1"/>
        <v/>
      </c>
      <c r="X54" s="10">
        <v>0</v>
      </c>
      <c r="Y54" s="11">
        <v>0</v>
      </c>
      <c r="Z54" s="11">
        <v>0</v>
      </c>
      <c r="AA54" s="11">
        <v>1</v>
      </c>
      <c r="AB54" s="11">
        <v>0</v>
      </c>
      <c r="AC54" s="11">
        <v>0</v>
      </c>
      <c r="AD54" s="11">
        <v>0</v>
      </c>
      <c r="AE54" s="12">
        <v>0</v>
      </c>
      <c r="AG54" s="45">
        <f t="shared" si="4"/>
        <v>1</v>
      </c>
      <c r="AH54" s="45">
        <f t="shared" si="2"/>
        <v>1</v>
      </c>
      <c r="AI54" s="45">
        <f t="shared" si="5"/>
        <v>0</v>
      </c>
      <c r="AJ54" s="45">
        <f t="shared" si="6"/>
        <v>0</v>
      </c>
      <c r="AK54" s="45">
        <f t="shared" si="3"/>
        <v>0</v>
      </c>
      <c r="AL54" s="1">
        <f t="shared" si="7"/>
        <v>0</v>
      </c>
      <c r="AM54" s="1">
        <f t="shared" si="8"/>
        <v>0</v>
      </c>
      <c r="AO54" s="45">
        <f t="shared" si="9"/>
        <v>0</v>
      </c>
      <c r="AP54" s="45">
        <f t="shared" si="10"/>
        <v>0</v>
      </c>
      <c r="AQ54" s="45">
        <f t="shared" si="11"/>
        <v>0</v>
      </c>
    </row>
    <row r="55" spans="1:43" ht="15" thickTop="1" thickBot="1" x14ac:dyDescent="0.5">
      <c r="A55" s="68" t="str">
        <f>IF(ISTEXT('Data Sheet'!B55),'Data Sheet'!B55&amp;" "&amp;'Data Sheet'!A55,"")</f>
        <v>FIONA MENC</v>
      </c>
      <c r="B55" s="70">
        <f>'Data Sheet'!C55</f>
        <v>53</v>
      </c>
      <c r="C55" s="38"/>
      <c r="D55" s="44">
        <f>'Data Sheet'!E55</f>
        <v>0</v>
      </c>
      <c r="E55" s="44">
        <f>'Data Sheet'!F55</f>
        <v>0</v>
      </c>
      <c r="F55" s="44">
        <f>'Data Sheet'!G55</f>
        <v>3</v>
      </c>
      <c r="G55" s="44">
        <f>'Data Sheet'!H55</f>
        <v>4</v>
      </c>
      <c r="H55" s="44">
        <f>'Data Sheet'!I55</f>
        <v>0</v>
      </c>
      <c r="I55" s="44">
        <f>'Data Sheet'!J55</f>
        <v>0</v>
      </c>
      <c r="J55" s="44">
        <f>'Data Sheet'!K55</f>
        <v>0</v>
      </c>
      <c r="K55" s="44">
        <f>'Data Sheet'!L55</f>
        <v>0</v>
      </c>
      <c r="L55" s="44">
        <f>'Data Sheet'!M55</f>
        <v>0</v>
      </c>
      <c r="M55" s="5"/>
      <c r="N55" s="44">
        <f>'Data Sheet'!O55</f>
        <v>0</v>
      </c>
      <c r="O55" s="44">
        <f>'Data Sheet'!P55</f>
        <v>0</v>
      </c>
      <c r="P55" s="44">
        <f>'Data Sheet'!Q55</f>
        <v>0</v>
      </c>
      <c r="Q55" s="44">
        <f>'Data Sheet'!R55</f>
        <v>0</v>
      </c>
      <c r="R55" s="44">
        <f>'Data Sheet'!S55</f>
        <v>0</v>
      </c>
      <c r="S55" s="44">
        <f>'Data Sheet'!T55</f>
        <v>0</v>
      </c>
      <c r="T55" s="44">
        <f>'Data Sheet'!U55</f>
        <v>0</v>
      </c>
      <c r="U55" s="44">
        <f>'Data Sheet'!V55</f>
        <v>0</v>
      </c>
      <c r="V55" s="5"/>
      <c r="W55" s="16" t="str">
        <f t="shared" si="1"/>
        <v/>
      </c>
      <c r="X55" s="10">
        <v>0</v>
      </c>
      <c r="Y55" s="11">
        <v>1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2">
        <v>0</v>
      </c>
      <c r="AG55" s="45">
        <f t="shared" si="4"/>
        <v>1</v>
      </c>
      <c r="AH55" s="45">
        <f t="shared" si="2"/>
        <v>1</v>
      </c>
      <c r="AI55" s="45">
        <f t="shared" si="5"/>
        <v>0</v>
      </c>
      <c r="AJ55" s="45">
        <f t="shared" si="6"/>
        <v>0</v>
      </c>
      <c r="AK55" s="45">
        <f t="shared" si="3"/>
        <v>0</v>
      </c>
      <c r="AL55" s="1">
        <f t="shared" si="7"/>
        <v>0</v>
      </c>
      <c r="AM55" s="1">
        <f t="shared" si="8"/>
        <v>0</v>
      </c>
      <c r="AO55" s="45">
        <f t="shared" si="9"/>
        <v>0</v>
      </c>
      <c r="AP55" s="45">
        <f t="shared" si="10"/>
        <v>0</v>
      </c>
      <c r="AQ55" s="45">
        <f t="shared" si="11"/>
        <v>0</v>
      </c>
    </row>
    <row r="56" spans="1:43" ht="15" thickTop="1" thickBot="1" x14ac:dyDescent="0.5">
      <c r="A56" s="68" t="str">
        <f>IF(ISTEXT('Data Sheet'!B56),'Data Sheet'!B56&amp;" "&amp;'Data Sheet'!A56,"")</f>
        <v>KHAMYA MOATE</v>
      </c>
      <c r="B56" s="70">
        <f>'Data Sheet'!C56</f>
        <v>54</v>
      </c>
      <c r="C56" s="38"/>
      <c r="D56" s="44">
        <f>'Data Sheet'!E56</f>
        <v>0</v>
      </c>
      <c r="E56" s="44">
        <f>'Data Sheet'!F56</f>
        <v>1</v>
      </c>
      <c r="F56" s="44">
        <f>'Data Sheet'!G56</f>
        <v>3</v>
      </c>
      <c r="G56" s="44">
        <f>'Data Sheet'!H56</f>
        <v>3</v>
      </c>
      <c r="H56" s="44">
        <f>'Data Sheet'!I56</f>
        <v>0</v>
      </c>
      <c r="I56" s="44">
        <f>'Data Sheet'!J56</f>
        <v>0</v>
      </c>
      <c r="J56" s="44">
        <f>'Data Sheet'!K56</f>
        <v>0</v>
      </c>
      <c r="K56" s="44">
        <f>'Data Sheet'!L56</f>
        <v>0</v>
      </c>
      <c r="L56" s="44">
        <f>'Data Sheet'!M56</f>
        <v>0</v>
      </c>
      <c r="M56" s="5"/>
      <c r="N56" s="44">
        <f>'Data Sheet'!O56</f>
        <v>0</v>
      </c>
      <c r="O56" s="44">
        <f>'Data Sheet'!P56</f>
        <v>0</v>
      </c>
      <c r="P56" s="44">
        <f>'Data Sheet'!Q56</f>
        <v>0</v>
      </c>
      <c r="Q56" s="44">
        <f>'Data Sheet'!R56</f>
        <v>0</v>
      </c>
      <c r="R56" s="44">
        <f>'Data Sheet'!S56</f>
        <v>0</v>
      </c>
      <c r="S56" s="44">
        <f>'Data Sheet'!T56</f>
        <v>0</v>
      </c>
      <c r="T56" s="44">
        <f>'Data Sheet'!U56</f>
        <v>0</v>
      </c>
      <c r="U56" s="44">
        <f>'Data Sheet'!V56</f>
        <v>0</v>
      </c>
      <c r="V56" s="5"/>
      <c r="W56" s="16" t="str">
        <f t="shared" si="1"/>
        <v/>
      </c>
      <c r="X56" s="10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1</v>
      </c>
      <c r="AD56" s="11">
        <v>0</v>
      </c>
      <c r="AE56" s="12">
        <v>0</v>
      </c>
      <c r="AG56" s="45">
        <f t="shared" si="4"/>
        <v>1</v>
      </c>
      <c r="AH56" s="45">
        <f t="shared" si="2"/>
        <v>1</v>
      </c>
      <c r="AI56" s="45">
        <f t="shared" si="5"/>
        <v>0</v>
      </c>
      <c r="AJ56" s="45">
        <f t="shared" si="6"/>
        <v>0</v>
      </c>
      <c r="AK56" s="45">
        <f t="shared" si="3"/>
        <v>0</v>
      </c>
      <c r="AL56" s="1">
        <f t="shared" si="7"/>
        <v>0</v>
      </c>
      <c r="AM56" s="1">
        <f t="shared" si="8"/>
        <v>0</v>
      </c>
      <c r="AO56" s="45">
        <f t="shared" si="9"/>
        <v>0</v>
      </c>
      <c r="AP56" s="45">
        <f t="shared" si="10"/>
        <v>0</v>
      </c>
      <c r="AQ56" s="45">
        <f t="shared" si="11"/>
        <v>0</v>
      </c>
    </row>
    <row r="57" spans="1:43" ht="15" thickTop="1" thickBot="1" x14ac:dyDescent="0.5">
      <c r="A57" s="68" t="str">
        <f>IF(ISTEXT('Data Sheet'!B57),'Data Sheet'!B57&amp;" "&amp;'Data Sheet'!A57,"")</f>
        <v>RYMIR RANSOM</v>
      </c>
      <c r="B57" s="70">
        <f>'Data Sheet'!C57</f>
        <v>55</v>
      </c>
      <c r="C57" s="38"/>
      <c r="D57" s="44">
        <f>'Data Sheet'!E57</f>
        <v>1</v>
      </c>
      <c r="E57" s="44">
        <f>'Data Sheet'!F57</f>
        <v>1</v>
      </c>
      <c r="F57" s="44">
        <f>'Data Sheet'!G57</f>
        <v>3</v>
      </c>
      <c r="G57" s="44">
        <f>'Data Sheet'!H57</f>
        <v>4</v>
      </c>
      <c r="H57" s="44">
        <f>'Data Sheet'!I57</f>
        <v>0</v>
      </c>
      <c r="I57" s="44">
        <f>'Data Sheet'!J57</f>
        <v>0</v>
      </c>
      <c r="J57" s="44">
        <f>'Data Sheet'!K57</f>
        <v>0</v>
      </c>
      <c r="K57" s="44">
        <f>'Data Sheet'!L57</f>
        <v>0</v>
      </c>
      <c r="L57" s="44">
        <f>'Data Sheet'!M57</f>
        <v>0</v>
      </c>
      <c r="M57" s="5"/>
      <c r="N57" s="44">
        <f>'Data Sheet'!O57</f>
        <v>0</v>
      </c>
      <c r="O57" s="44">
        <f>'Data Sheet'!P57</f>
        <v>0</v>
      </c>
      <c r="P57" s="44">
        <f>'Data Sheet'!Q57</f>
        <v>0</v>
      </c>
      <c r="Q57" s="44">
        <f>'Data Sheet'!R57</f>
        <v>0</v>
      </c>
      <c r="R57" s="44">
        <f>'Data Sheet'!S57</f>
        <v>0</v>
      </c>
      <c r="S57" s="44">
        <f>'Data Sheet'!T57</f>
        <v>0</v>
      </c>
      <c r="T57" s="44">
        <f>'Data Sheet'!U57</f>
        <v>0</v>
      </c>
      <c r="U57" s="44">
        <f>'Data Sheet'!V57</f>
        <v>0</v>
      </c>
      <c r="V57" s="5"/>
      <c r="W57" s="16" t="str">
        <f t="shared" si="1"/>
        <v/>
      </c>
      <c r="X57" s="10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2">
        <v>1</v>
      </c>
      <c r="AG57" s="45">
        <f t="shared" si="4"/>
        <v>1</v>
      </c>
      <c r="AH57" s="45">
        <f t="shared" si="2"/>
        <v>1</v>
      </c>
      <c r="AI57" s="45">
        <f t="shared" si="5"/>
        <v>0</v>
      </c>
      <c r="AJ57" s="45">
        <f t="shared" si="6"/>
        <v>0</v>
      </c>
      <c r="AK57" s="45">
        <f t="shared" si="3"/>
        <v>0</v>
      </c>
      <c r="AL57" s="1">
        <f t="shared" si="7"/>
        <v>0</v>
      </c>
      <c r="AM57" s="1">
        <f t="shared" si="8"/>
        <v>0</v>
      </c>
      <c r="AO57" s="45">
        <f t="shared" si="9"/>
        <v>0</v>
      </c>
      <c r="AP57" s="45">
        <f t="shared" si="10"/>
        <v>0</v>
      </c>
      <c r="AQ57" s="45">
        <f t="shared" si="11"/>
        <v>0</v>
      </c>
    </row>
    <row r="58" spans="1:43" ht="15" thickTop="1" thickBot="1" x14ac:dyDescent="0.5">
      <c r="A58" s="68" t="str">
        <f>IF(ISTEXT('Data Sheet'!B58),'Data Sheet'!B58&amp;" "&amp;'Data Sheet'!A58,"")</f>
        <v>KAMAJ SMITH</v>
      </c>
      <c r="B58" s="70">
        <f>'Data Sheet'!C58</f>
        <v>56</v>
      </c>
      <c r="C58" s="38"/>
      <c r="D58" s="44">
        <f>'Data Sheet'!E58</f>
        <v>1</v>
      </c>
      <c r="E58" s="44">
        <f>'Data Sheet'!F58</f>
        <v>1</v>
      </c>
      <c r="F58" s="44">
        <f>'Data Sheet'!G58</f>
        <v>3</v>
      </c>
      <c r="G58" s="44">
        <f>'Data Sheet'!H58</f>
        <v>2</v>
      </c>
      <c r="H58" s="44">
        <f>'Data Sheet'!I58</f>
        <v>1</v>
      </c>
      <c r="I58" s="44">
        <f>'Data Sheet'!J58</f>
        <v>0</v>
      </c>
      <c r="J58" s="44">
        <f>'Data Sheet'!K58</f>
        <v>0</v>
      </c>
      <c r="K58" s="44">
        <f>'Data Sheet'!L58</f>
        <v>0</v>
      </c>
      <c r="L58" s="44">
        <f>'Data Sheet'!M58</f>
        <v>0</v>
      </c>
      <c r="M58" s="5"/>
      <c r="N58" s="44">
        <f>'Data Sheet'!O58</f>
        <v>0</v>
      </c>
      <c r="O58" s="44">
        <f>'Data Sheet'!P58</f>
        <v>0</v>
      </c>
      <c r="P58" s="44">
        <f>'Data Sheet'!Q58</f>
        <v>0</v>
      </c>
      <c r="Q58" s="44">
        <f>'Data Sheet'!R58</f>
        <v>0</v>
      </c>
      <c r="R58" s="44">
        <f>'Data Sheet'!S58</f>
        <v>0</v>
      </c>
      <c r="S58" s="44">
        <f>'Data Sheet'!T58</f>
        <v>0</v>
      </c>
      <c r="T58" s="44">
        <f>'Data Sheet'!U58</f>
        <v>0</v>
      </c>
      <c r="U58" s="44">
        <f>'Data Sheet'!V58</f>
        <v>0</v>
      </c>
      <c r="V58" s="5"/>
      <c r="W58" s="16" t="str">
        <f t="shared" si="1"/>
        <v/>
      </c>
      <c r="X58" s="10">
        <v>0</v>
      </c>
      <c r="Y58" s="11">
        <v>0</v>
      </c>
      <c r="Z58" s="11">
        <v>0</v>
      </c>
      <c r="AA58" s="11">
        <v>0</v>
      </c>
      <c r="AB58" s="11">
        <v>1</v>
      </c>
      <c r="AC58" s="11">
        <v>0</v>
      </c>
      <c r="AD58" s="11">
        <v>0</v>
      </c>
      <c r="AE58" s="12">
        <v>0</v>
      </c>
      <c r="AG58" s="45">
        <f t="shared" si="4"/>
        <v>1</v>
      </c>
      <c r="AH58" s="45">
        <f t="shared" si="2"/>
        <v>1</v>
      </c>
      <c r="AI58" s="45">
        <f t="shared" si="5"/>
        <v>0</v>
      </c>
      <c r="AJ58" s="45">
        <f t="shared" si="6"/>
        <v>0</v>
      </c>
      <c r="AK58" s="45">
        <f t="shared" si="3"/>
        <v>0</v>
      </c>
      <c r="AL58" s="1">
        <f t="shared" si="7"/>
        <v>0</v>
      </c>
      <c r="AM58" s="1">
        <f t="shared" si="8"/>
        <v>0</v>
      </c>
      <c r="AO58" s="45">
        <f t="shared" si="9"/>
        <v>0</v>
      </c>
      <c r="AP58" s="45">
        <f t="shared" si="10"/>
        <v>0</v>
      </c>
      <c r="AQ58" s="45">
        <f t="shared" si="11"/>
        <v>0</v>
      </c>
    </row>
    <row r="59" spans="1:43" ht="15" thickTop="1" thickBot="1" x14ac:dyDescent="0.5">
      <c r="A59" s="68" t="str">
        <f>IF(ISTEXT('Data Sheet'!B59),'Data Sheet'!B59&amp;" "&amp;'Data Sheet'!A59,"")</f>
        <v>ALEXANDER TAYLOR</v>
      </c>
      <c r="B59" s="70">
        <f>'Data Sheet'!C59</f>
        <v>57</v>
      </c>
      <c r="C59" s="38"/>
      <c r="D59" s="44">
        <f>'Data Sheet'!E59</f>
        <v>1</v>
      </c>
      <c r="E59" s="44">
        <f>'Data Sheet'!F59</f>
        <v>0</v>
      </c>
      <c r="F59" s="44">
        <f>'Data Sheet'!G59</f>
        <v>3</v>
      </c>
      <c r="G59" s="44">
        <f>'Data Sheet'!H59</f>
        <v>4</v>
      </c>
      <c r="H59" s="44">
        <f>'Data Sheet'!I59</f>
        <v>0</v>
      </c>
      <c r="I59" s="44">
        <f>'Data Sheet'!J59</f>
        <v>1</v>
      </c>
      <c r="J59" s="44">
        <f>'Data Sheet'!K59</f>
        <v>0</v>
      </c>
      <c r="K59" s="44">
        <f>'Data Sheet'!L59</f>
        <v>0</v>
      </c>
      <c r="L59" s="44">
        <f>'Data Sheet'!M59</f>
        <v>0</v>
      </c>
      <c r="M59" s="5"/>
      <c r="N59" s="44">
        <f>'Data Sheet'!O59</f>
        <v>0</v>
      </c>
      <c r="O59" s="44">
        <f>'Data Sheet'!P59</f>
        <v>0</v>
      </c>
      <c r="P59" s="44">
        <f>'Data Sheet'!Q59</f>
        <v>0</v>
      </c>
      <c r="Q59" s="44">
        <f>'Data Sheet'!R59</f>
        <v>0</v>
      </c>
      <c r="R59" s="44">
        <f>'Data Sheet'!S59</f>
        <v>0</v>
      </c>
      <c r="S59" s="44">
        <f>'Data Sheet'!T59</f>
        <v>0</v>
      </c>
      <c r="T59" s="44">
        <f>'Data Sheet'!U59</f>
        <v>0</v>
      </c>
      <c r="U59" s="44">
        <f>'Data Sheet'!V59</f>
        <v>0</v>
      </c>
      <c r="V59" s="5"/>
      <c r="W59" s="16" t="str">
        <f t="shared" si="1"/>
        <v>IEP</v>
      </c>
      <c r="X59" s="10">
        <v>0</v>
      </c>
      <c r="Y59" s="11">
        <v>0</v>
      </c>
      <c r="Z59" s="11">
        <v>0</v>
      </c>
      <c r="AA59" s="11">
        <v>0</v>
      </c>
      <c r="AB59" s="11">
        <v>1</v>
      </c>
      <c r="AC59" s="11">
        <v>0</v>
      </c>
      <c r="AD59" s="11">
        <v>0</v>
      </c>
      <c r="AE59" s="12">
        <v>0</v>
      </c>
      <c r="AG59" s="45">
        <f t="shared" si="4"/>
        <v>1</v>
      </c>
      <c r="AH59" s="45">
        <f t="shared" si="2"/>
        <v>1</v>
      </c>
      <c r="AI59" s="45">
        <f t="shared" si="5"/>
        <v>1</v>
      </c>
      <c r="AJ59" s="45">
        <f t="shared" si="6"/>
        <v>1</v>
      </c>
      <c r="AK59" s="45">
        <f t="shared" si="3"/>
        <v>0</v>
      </c>
      <c r="AL59" s="1">
        <f t="shared" si="7"/>
        <v>0</v>
      </c>
      <c r="AM59" s="1">
        <f t="shared" si="8"/>
        <v>0</v>
      </c>
      <c r="AO59" s="45">
        <f t="shared" si="9"/>
        <v>0</v>
      </c>
      <c r="AP59" s="45">
        <f t="shared" si="10"/>
        <v>0</v>
      </c>
      <c r="AQ59" s="45">
        <f t="shared" si="11"/>
        <v>0</v>
      </c>
    </row>
    <row r="60" spans="1:43" ht="15" thickTop="1" thickBot="1" x14ac:dyDescent="0.5">
      <c r="A60" s="68" t="str">
        <f>IF(ISTEXT('Data Sheet'!B60),'Data Sheet'!B60&amp;" "&amp;'Data Sheet'!A60,"")</f>
        <v>ANDREW WARE</v>
      </c>
      <c r="B60" s="70">
        <f>'Data Sheet'!C60</f>
        <v>58</v>
      </c>
      <c r="C60" s="38"/>
      <c r="D60" s="44">
        <f>'Data Sheet'!E60</f>
        <v>1</v>
      </c>
      <c r="E60" s="44">
        <f>'Data Sheet'!F60</f>
        <v>1</v>
      </c>
      <c r="F60" s="44">
        <f>'Data Sheet'!G60</f>
        <v>3</v>
      </c>
      <c r="G60" s="44">
        <f>'Data Sheet'!H60</f>
        <v>4</v>
      </c>
      <c r="H60" s="44">
        <f>'Data Sheet'!I60</f>
        <v>0</v>
      </c>
      <c r="I60" s="44">
        <f>'Data Sheet'!J60</f>
        <v>0</v>
      </c>
      <c r="J60" s="44">
        <f>'Data Sheet'!K60</f>
        <v>0</v>
      </c>
      <c r="K60" s="44">
        <f>'Data Sheet'!L60</f>
        <v>0</v>
      </c>
      <c r="L60" s="44">
        <f>'Data Sheet'!M60</f>
        <v>0</v>
      </c>
      <c r="M60" s="5"/>
      <c r="N60" s="44">
        <f>'Data Sheet'!O60</f>
        <v>0</v>
      </c>
      <c r="O60" s="44">
        <f>'Data Sheet'!P60</f>
        <v>0</v>
      </c>
      <c r="P60" s="44">
        <f>'Data Sheet'!Q60</f>
        <v>0</v>
      </c>
      <c r="Q60" s="44">
        <f>'Data Sheet'!R60</f>
        <v>0</v>
      </c>
      <c r="R60" s="44">
        <f>'Data Sheet'!S60</f>
        <v>0</v>
      </c>
      <c r="S60" s="44">
        <f>'Data Sheet'!T60</f>
        <v>0</v>
      </c>
      <c r="T60" s="44">
        <f>'Data Sheet'!U60</f>
        <v>0</v>
      </c>
      <c r="U60" s="44">
        <f>'Data Sheet'!V60</f>
        <v>0</v>
      </c>
      <c r="V60" s="5"/>
      <c r="W60" s="16" t="str">
        <f t="shared" si="1"/>
        <v/>
      </c>
      <c r="X60" s="10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1</v>
      </c>
      <c r="AE60" s="12">
        <v>0</v>
      </c>
      <c r="AG60" s="45">
        <f t="shared" si="4"/>
        <v>1</v>
      </c>
      <c r="AH60" s="45">
        <f t="shared" si="2"/>
        <v>1</v>
      </c>
      <c r="AI60" s="45">
        <f t="shared" si="5"/>
        <v>0</v>
      </c>
      <c r="AJ60" s="45">
        <f t="shared" si="6"/>
        <v>0</v>
      </c>
      <c r="AK60" s="45">
        <f t="shared" si="3"/>
        <v>0</v>
      </c>
      <c r="AL60" s="1">
        <f t="shared" si="7"/>
        <v>0</v>
      </c>
      <c r="AM60" s="1">
        <f t="shared" si="8"/>
        <v>0</v>
      </c>
      <c r="AO60" s="45">
        <f t="shared" si="9"/>
        <v>0</v>
      </c>
      <c r="AP60" s="45">
        <f t="shared" si="10"/>
        <v>0</v>
      </c>
      <c r="AQ60" s="45">
        <f t="shared" si="11"/>
        <v>0</v>
      </c>
    </row>
    <row r="61" spans="1:43" ht="15" thickTop="1" thickBot="1" x14ac:dyDescent="0.5">
      <c r="A61" s="68" t="str">
        <f>IF(ISTEXT('Data Sheet'!B61),'Data Sheet'!B61&amp;" "&amp;'Data Sheet'!A61,"")</f>
        <v>VIRGINIA WISLAR</v>
      </c>
      <c r="B61" s="70">
        <f>'Data Sheet'!C61</f>
        <v>59</v>
      </c>
      <c r="C61" s="38"/>
      <c r="D61" s="44">
        <f>'Data Sheet'!E61</f>
        <v>0</v>
      </c>
      <c r="E61" s="44">
        <f>'Data Sheet'!F61</f>
        <v>0</v>
      </c>
      <c r="F61" s="44">
        <f>'Data Sheet'!G61</f>
        <v>3</v>
      </c>
      <c r="G61" s="44">
        <f>'Data Sheet'!H61</f>
        <v>4</v>
      </c>
      <c r="H61" s="44">
        <f>'Data Sheet'!I61</f>
        <v>0</v>
      </c>
      <c r="I61" s="44">
        <f>'Data Sheet'!J61</f>
        <v>0</v>
      </c>
      <c r="J61" s="44">
        <f>'Data Sheet'!K61</f>
        <v>0</v>
      </c>
      <c r="K61" s="44">
        <f>'Data Sheet'!L61</f>
        <v>0</v>
      </c>
      <c r="L61" s="44">
        <f>'Data Sheet'!M61</f>
        <v>0</v>
      </c>
      <c r="M61" s="5"/>
      <c r="N61" s="44">
        <f>'Data Sheet'!O61</f>
        <v>0</v>
      </c>
      <c r="O61" s="44">
        <f>'Data Sheet'!P61</f>
        <v>0</v>
      </c>
      <c r="P61" s="44">
        <f>'Data Sheet'!Q61</f>
        <v>0</v>
      </c>
      <c r="Q61" s="44">
        <f>'Data Sheet'!R61</f>
        <v>0</v>
      </c>
      <c r="R61" s="44">
        <f>'Data Sheet'!S61</f>
        <v>0</v>
      </c>
      <c r="S61" s="44">
        <f>'Data Sheet'!T61</f>
        <v>0</v>
      </c>
      <c r="T61" s="44">
        <f>'Data Sheet'!U61</f>
        <v>0</v>
      </c>
      <c r="U61" s="44">
        <f>'Data Sheet'!V61</f>
        <v>0</v>
      </c>
      <c r="V61" s="5"/>
      <c r="W61" s="16" t="str">
        <f t="shared" si="1"/>
        <v/>
      </c>
      <c r="X61" s="10">
        <v>0</v>
      </c>
      <c r="Y61" s="11">
        <v>0</v>
      </c>
      <c r="Z61" s="11">
        <v>0</v>
      </c>
      <c r="AA61" s="11">
        <v>1</v>
      </c>
      <c r="AB61" s="11">
        <v>0</v>
      </c>
      <c r="AC61" s="11">
        <v>0</v>
      </c>
      <c r="AD61" s="11">
        <v>0</v>
      </c>
      <c r="AE61" s="12">
        <v>0</v>
      </c>
      <c r="AG61" s="45">
        <f t="shared" si="4"/>
        <v>1</v>
      </c>
      <c r="AH61" s="45">
        <f t="shared" si="2"/>
        <v>1</v>
      </c>
      <c r="AI61" s="45">
        <f t="shared" si="5"/>
        <v>0</v>
      </c>
      <c r="AJ61" s="45">
        <f t="shared" si="6"/>
        <v>0</v>
      </c>
      <c r="AK61" s="45">
        <f t="shared" si="3"/>
        <v>0</v>
      </c>
      <c r="AL61" s="1">
        <f t="shared" si="7"/>
        <v>0</v>
      </c>
      <c r="AM61" s="1">
        <f t="shared" si="8"/>
        <v>0</v>
      </c>
      <c r="AO61" s="45">
        <f t="shared" si="9"/>
        <v>0</v>
      </c>
      <c r="AP61" s="45">
        <f t="shared" si="10"/>
        <v>0</v>
      </c>
      <c r="AQ61" s="45">
        <f t="shared" si="11"/>
        <v>0</v>
      </c>
    </row>
    <row r="62" spans="1:43" ht="15" thickTop="1" thickBot="1" x14ac:dyDescent="0.5">
      <c r="A62" s="68" t="str">
        <f>IF(ISTEXT('Data Sheet'!B62),'Data Sheet'!B62&amp;" "&amp;'Data Sheet'!A62,"")</f>
        <v>JADE BAYLIS</v>
      </c>
      <c r="B62" s="70">
        <f>'Data Sheet'!C62</f>
        <v>60</v>
      </c>
      <c r="C62" s="38"/>
      <c r="D62" s="44">
        <f>'Data Sheet'!E62</f>
        <v>0</v>
      </c>
      <c r="E62" s="44">
        <f>'Data Sheet'!F62</f>
        <v>1</v>
      </c>
      <c r="F62" s="44">
        <f>'Data Sheet'!G62</f>
        <v>3</v>
      </c>
      <c r="G62" s="44">
        <f>'Data Sheet'!H62</f>
        <v>4</v>
      </c>
      <c r="H62" s="44">
        <f>'Data Sheet'!I62</f>
        <v>0</v>
      </c>
      <c r="I62" s="44">
        <f>'Data Sheet'!J62</f>
        <v>0</v>
      </c>
      <c r="J62" s="44">
        <f>'Data Sheet'!K62</f>
        <v>0</v>
      </c>
      <c r="K62" s="44">
        <f>'Data Sheet'!L62</f>
        <v>0</v>
      </c>
      <c r="L62" s="44">
        <f>'Data Sheet'!M62</f>
        <v>0</v>
      </c>
      <c r="M62" s="5"/>
      <c r="N62" s="44">
        <f>'Data Sheet'!O62</f>
        <v>0</v>
      </c>
      <c r="O62" s="44">
        <f>'Data Sheet'!P62</f>
        <v>0</v>
      </c>
      <c r="P62" s="44">
        <f>'Data Sheet'!Q62</f>
        <v>0</v>
      </c>
      <c r="Q62" s="44">
        <f>'Data Sheet'!R62</f>
        <v>0</v>
      </c>
      <c r="R62" s="44">
        <f>'Data Sheet'!S62</f>
        <v>0</v>
      </c>
      <c r="S62" s="44">
        <f>'Data Sheet'!T62</f>
        <v>0</v>
      </c>
      <c r="T62" s="44">
        <f>'Data Sheet'!U62</f>
        <v>0</v>
      </c>
      <c r="U62" s="44">
        <f>'Data Sheet'!V62</f>
        <v>0</v>
      </c>
      <c r="V62" s="5"/>
      <c r="W62" s="16" t="str">
        <f t="shared" si="1"/>
        <v/>
      </c>
      <c r="X62" s="10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1</v>
      </c>
      <c r="AE62" s="12">
        <v>0</v>
      </c>
      <c r="AG62" s="45">
        <f t="shared" si="4"/>
        <v>1</v>
      </c>
      <c r="AH62" s="45">
        <f t="shared" si="2"/>
        <v>1</v>
      </c>
      <c r="AI62" s="45">
        <f t="shared" si="5"/>
        <v>0</v>
      </c>
      <c r="AJ62" s="45">
        <f t="shared" si="6"/>
        <v>0</v>
      </c>
      <c r="AK62" s="45">
        <f t="shared" si="3"/>
        <v>0</v>
      </c>
      <c r="AL62" s="1">
        <f t="shared" si="7"/>
        <v>0</v>
      </c>
      <c r="AM62" s="1">
        <f t="shared" si="8"/>
        <v>0</v>
      </c>
      <c r="AO62" s="45">
        <f t="shared" si="9"/>
        <v>0</v>
      </c>
      <c r="AP62" s="45">
        <f t="shared" si="10"/>
        <v>0</v>
      </c>
      <c r="AQ62" s="45">
        <f t="shared" si="11"/>
        <v>0</v>
      </c>
    </row>
    <row r="63" spans="1:43" ht="15" thickTop="1" thickBot="1" x14ac:dyDescent="0.5">
      <c r="A63" s="68" t="str">
        <f>IF(ISTEXT('Data Sheet'!B63),'Data Sheet'!B63&amp;" "&amp;'Data Sheet'!A63,"")</f>
        <v>SAJJID COLLEY</v>
      </c>
      <c r="B63" s="70">
        <f>'Data Sheet'!C63</f>
        <v>61</v>
      </c>
      <c r="C63" s="38"/>
      <c r="D63" s="44">
        <f>'Data Sheet'!E63</f>
        <v>1</v>
      </c>
      <c r="E63" s="44">
        <f>'Data Sheet'!F63</f>
        <v>1</v>
      </c>
      <c r="F63" s="44">
        <f>'Data Sheet'!G63</f>
        <v>3</v>
      </c>
      <c r="G63" s="44">
        <f>'Data Sheet'!H63</f>
        <v>4</v>
      </c>
      <c r="H63" s="44">
        <f>'Data Sheet'!I63</f>
        <v>0</v>
      </c>
      <c r="I63" s="44">
        <f>'Data Sheet'!J63</f>
        <v>0</v>
      </c>
      <c r="J63" s="44">
        <f>'Data Sheet'!K63</f>
        <v>0</v>
      </c>
      <c r="K63" s="44">
        <f>'Data Sheet'!L63</f>
        <v>0</v>
      </c>
      <c r="L63" s="44">
        <f>'Data Sheet'!M63</f>
        <v>0</v>
      </c>
      <c r="M63" s="5"/>
      <c r="N63" s="44">
        <f>'Data Sheet'!O63</f>
        <v>0</v>
      </c>
      <c r="O63" s="44">
        <f>'Data Sheet'!P63</f>
        <v>0</v>
      </c>
      <c r="P63" s="44">
        <f>'Data Sheet'!Q63</f>
        <v>0</v>
      </c>
      <c r="Q63" s="44">
        <f>'Data Sheet'!R63</f>
        <v>0</v>
      </c>
      <c r="R63" s="44">
        <f>'Data Sheet'!S63</f>
        <v>0</v>
      </c>
      <c r="S63" s="44">
        <f>'Data Sheet'!T63</f>
        <v>0</v>
      </c>
      <c r="T63" s="44">
        <f>'Data Sheet'!U63</f>
        <v>0</v>
      </c>
      <c r="U63" s="44">
        <f>'Data Sheet'!V63</f>
        <v>0</v>
      </c>
      <c r="V63" s="5"/>
      <c r="W63" s="16" t="str">
        <f t="shared" si="1"/>
        <v/>
      </c>
      <c r="X63" s="10">
        <v>0</v>
      </c>
      <c r="Y63" s="11">
        <v>0</v>
      </c>
      <c r="Z63" s="11">
        <v>0</v>
      </c>
      <c r="AA63" s="11">
        <v>0</v>
      </c>
      <c r="AB63" s="11">
        <v>1</v>
      </c>
      <c r="AC63" s="11">
        <v>0</v>
      </c>
      <c r="AD63" s="11">
        <v>0</v>
      </c>
      <c r="AE63" s="12">
        <v>0</v>
      </c>
      <c r="AG63" s="45">
        <f t="shared" si="4"/>
        <v>1</v>
      </c>
      <c r="AH63" s="45">
        <f t="shared" si="2"/>
        <v>1</v>
      </c>
      <c r="AI63" s="45">
        <f t="shared" si="5"/>
        <v>0</v>
      </c>
      <c r="AJ63" s="45">
        <f t="shared" si="6"/>
        <v>0</v>
      </c>
      <c r="AK63" s="45">
        <f t="shared" si="3"/>
        <v>0</v>
      </c>
      <c r="AL63" s="1">
        <f t="shared" si="7"/>
        <v>0</v>
      </c>
      <c r="AM63" s="1">
        <f t="shared" si="8"/>
        <v>0</v>
      </c>
      <c r="AO63" s="45">
        <f t="shared" si="9"/>
        <v>0</v>
      </c>
      <c r="AP63" s="45">
        <f t="shared" si="10"/>
        <v>0</v>
      </c>
      <c r="AQ63" s="45">
        <f t="shared" si="11"/>
        <v>0</v>
      </c>
    </row>
    <row r="64" spans="1:43" ht="15" thickTop="1" thickBot="1" x14ac:dyDescent="0.5">
      <c r="A64" s="68" t="str">
        <f>IF(ISTEXT('Data Sheet'!B64),'Data Sheet'!B64&amp;" "&amp;'Data Sheet'!A64,"")</f>
        <v>BROOKLYN PIGFORD</v>
      </c>
      <c r="B64" s="70">
        <f>'Data Sheet'!C64</f>
        <v>62</v>
      </c>
      <c r="C64" s="38"/>
      <c r="D64" s="44">
        <f>'Data Sheet'!E64</f>
        <v>0</v>
      </c>
      <c r="E64" s="44">
        <f>'Data Sheet'!F64</f>
        <v>1</v>
      </c>
      <c r="F64" s="44">
        <f>'Data Sheet'!G64</f>
        <v>3</v>
      </c>
      <c r="G64" s="44">
        <f>'Data Sheet'!H64</f>
        <v>3</v>
      </c>
      <c r="H64" s="44">
        <f>'Data Sheet'!I64</f>
        <v>0</v>
      </c>
      <c r="I64" s="44">
        <f>'Data Sheet'!J64</f>
        <v>0</v>
      </c>
      <c r="J64" s="44">
        <f>'Data Sheet'!K64</f>
        <v>0</v>
      </c>
      <c r="K64" s="44">
        <f>'Data Sheet'!L64</f>
        <v>0</v>
      </c>
      <c r="L64" s="44">
        <f>'Data Sheet'!M64</f>
        <v>0</v>
      </c>
      <c r="M64" s="5"/>
      <c r="N64" s="44">
        <f>'Data Sheet'!O64</f>
        <v>1</v>
      </c>
      <c r="O64" s="44">
        <f>'Data Sheet'!P64</f>
        <v>0</v>
      </c>
      <c r="P64" s="44">
        <f>'Data Sheet'!Q64</f>
        <v>0</v>
      </c>
      <c r="Q64" s="44">
        <f>'Data Sheet'!R64</f>
        <v>0</v>
      </c>
      <c r="R64" s="44">
        <f>'Data Sheet'!S64</f>
        <v>0</v>
      </c>
      <c r="S64" s="44">
        <f>'Data Sheet'!T64</f>
        <v>0</v>
      </c>
      <c r="T64" s="44">
        <f>'Data Sheet'!U64</f>
        <v>0</v>
      </c>
      <c r="U64" s="44">
        <f>'Data Sheet'!V64</f>
        <v>0</v>
      </c>
      <c r="V64" s="5"/>
      <c r="W64" s="16" t="str">
        <f t="shared" si="1"/>
        <v/>
      </c>
      <c r="X64" s="10">
        <v>1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2">
        <v>0</v>
      </c>
      <c r="AG64" s="45">
        <f t="shared" si="4"/>
        <v>1</v>
      </c>
      <c r="AH64" s="45">
        <f t="shared" si="2"/>
        <v>1</v>
      </c>
      <c r="AI64" s="45">
        <f t="shared" si="5"/>
        <v>0</v>
      </c>
      <c r="AJ64" s="45">
        <f t="shared" si="6"/>
        <v>0</v>
      </c>
      <c r="AK64" s="45">
        <f t="shared" si="3"/>
        <v>1</v>
      </c>
      <c r="AL64" s="1">
        <f t="shared" si="7"/>
        <v>1</v>
      </c>
      <c r="AM64" s="1">
        <f t="shared" si="8"/>
        <v>0</v>
      </c>
      <c r="AO64" s="45">
        <f t="shared" si="9"/>
        <v>1</v>
      </c>
      <c r="AP64" s="45">
        <f t="shared" si="10"/>
        <v>1</v>
      </c>
      <c r="AQ64" s="45">
        <f t="shared" si="11"/>
        <v>0</v>
      </c>
    </row>
    <row r="65" spans="1:43" ht="15" thickTop="1" thickBot="1" x14ac:dyDescent="0.5">
      <c r="A65" s="68" t="str">
        <f>IF(ISTEXT('Data Sheet'!B65),'Data Sheet'!B65&amp;" "&amp;'Data Sheet'!A65,"")</f>
        <v>TIEGAN ROGERS</v>
      </c>
      <c r="B65" s="70">
        <f>'Data Sheet'!C65</f>
        <v>63</v>
      </c>
      <c r="C65" s="38"/>
      <c r="D65" s="44">
        <f>'Data Sheet'!E65</f>
        <v>0</v>
      </c>
      <c r="E65" s="44">
        <f>'Data Sheet'!F65</f>
        <v>0</v>
      </c>
      <c r="F65" s="44">
        <f>'Data Sheet'!G65</f>
        <v>3</v>
      </c>
      <c r="G65" s="44">
        <f>'Data Sheet'!H65</f>
        <v>2</v>
      </c>
      <c r="H65" s="44">
        <f>'Data Sheet'!I65</f>
        <v>1</v>
      </c>
      <c r="I65" s="44">
        <f>'Data Sheet'!J65</f>
        <v>1</v>
      </c>
      <c r="J65" s="44">
        <f>'Data Sheet'!K65</f>
        <v>0</v>
      </c>
      <c r="K65" s="44">
        <f>'Data Sheet'!L65</f>
        <v>0</v>
      </c>
      <c r="L65" s="44">
        <f>'Data Sheet'!M65</f>
        <v>0</v>
      </c>
      <c r="M65" s="5"/>
      <c r="N65" s="44">
        <f>'Data Sheet'!O65</f>
        <v>0</v>
      </c>
      <c r="O65" s="44">
        <f>'Data Sheet'!P65</f>
        <v>0</v>
      </c>
      <c r="P65" s="44">
        <f>'Data Sheet'!Q65</f>
        <v>0</v>
      </c>
      <c r="Q65" s="44">
        <f>'Data Sheet'!R65</f>
        <v>0</v>
      </c>
      <c r="R65" s="44">
        <f>'Data Sheet'!S65</f>
        <v>0</v>
      </c>
      <c r="S65" s="44">
        <f>'Data Sheet'!T65</f>
        <v>1</v>
      </c>
      <c r="T65" s="44">
        <f>'Data Sheet'!U65</f>
        <v>0</v>
      </c>
      <c r="U65" s="44">
        <f>'Data Sheet'!V65</f>
        <v>0</v>
      </c>
      <c r="V65" s="5"/>
      <c r="W65" s="16" t="str">
        <f t="shared" si="1"/>
        <v>IEP</v>
      </c>
      <c r="X65" s="10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1</v>
      </c>
      <c r="AD65" s="11">
        <v>0</v>
      </c>
      <c r="AE65" s="12">
        <v>0</v>
      </c>
      <c r="AG65" s="45">
        <f t="shared" si="4"/>
        <v>1</v>
      </c>
      <c r="AH65" s="45">
        <f t="shared" si="2"/>
        <v>1</v>
      </c>
      <c r="AI65" s="45">
        <f t="shared" si="5"/>
        <v>1</v>
      </c>
      <c r="AJ65" s="45">
        <f t="shared" si="6"/>
        <v>1</v>
      </c>
      <c r="AK65" s="45">
        <f t="shared" si="3"/>
        <v>1</v>
      </c>
      <c r="AL65" s="1">
        <f t="shared" si="7"/>
        <v>1</v>
      </c>
      <c r="AM65" s="1">
        <f t="shared" si="8"/>
        <v>0</v>
      </c>
      <c r="AO65" s="45">
        <f t="shared" si="9"/>
        <v>1</v>
      </c>
      <c r="AP65" s="45">
        <f t="shared" si="10"/>
        <v>1</v>
      </c>
      <c r="AQ65" s="45">
        <f t="shared" si="11"/>
        <v>0</v>
      </c>
    </row>
    <row r="66" spans="1:43" ht="15" thickTop="1" thickBot="1" x14ac:dyDescent="0.5">
      <c r="A66" s="68" t="str">
        <f>IF(ISTEXT('Data Sheet'!B66),'Data Sheet'!B66&amp;" "&amp;'Data Sheet'!A66,"")</f>
        <v>SOPHIA SMITH</v>
      </c>
      <c r="B66" s="70">
        <f>'Data Sheet'!C66</f>
        <v>64</v>
      </c>
      <c r="C66" s="38"/>
      <c r="D66" s="44">
        <f>'Data Sheet'!E66</f>
        <v>0</v>
      </c>
      <c r="E66" s="44">
        <f>'Data Sheet'!F66</f>
        <v>0</v>
      </c>
      <c r="F66" s="44">
        <f>'Data Sheet'!G66</f>
        <v>3</v>
      </c>
      <c r="G66" s="44">
        <f>'Data Sheet'!H66</f>
        <v>4</v>
      </c>
      <c r="H66" s="44">
        <f>'Data Sheet'!I66</f>
        <v>0</v>
      </c>
      <c r="I66" s="44">
        <f>'Data Sheet'!J66</f>
        <v>0</v>
      </c>
      <c r="J66" s="44">
        <f>'Data Sheet'!K66</f>
        <v>0</v>
      </c>
      <c r="K66" s="44">
        <f>'Data Sheet'!L66</f>
        <v>0</v>
      </c>
      <c r="L66" s="44">
        <f>'Data Sheet'!M66</f>
        <v>0</v>
      </c>
      <c r="M66" s="5"/>
      <c r="N66" s="44">
        <f>'Data Sheet'!O66</f>
        <v>0</v>
      </c>
      <c r="O66" s="44">
        <f>'Data Sheet'!P66</f>
        <v>0</v>
      </c>
      <c r="P66" s="44">
        <f>'Data Sheet'!Q66</f>
        <v>0</v>
      </c>
      <c r="Q66" s="44">
        <f>'Data Sheet'!R66</f>
        <v>0</v>
      </c>
      <c r="R66" s="44">
        <f>'Data Sheet'!S66</f>
        <v>0</v>
      </c>
      <c r="S66" s="44">
        <f>'Data Sheet'!T66</f>
        <v>0</v>
      </c>
      <c r="T66" s="44">
        <f>'Data Sheet'!U66</f>
        <v>0</v>
      </c>
      <c r="U66" s="44">
        <f>'Data Sheet'!V66</f>
        <v>0</v>
      </c>
      <c r="V66" s="5"/>
      <c r="W66" s="16" t="str">
        <f t="shared" si="1"/>
        <v/>
      </c>
      <c r="X66" s="10">
        <v>0</v>
      </c>
      <c r="Y66" s="11">
        <v>0</v>
      </c>
      <c r="Z66" s="11">
        <v>0</v>
      </c>
      <c r="AA66" s="11">
        <v>1</v>
      </c>
      <c r="AB66" s="11">
        <v>0</v>
      </c>
      <c r="AC66" s="11">
        <v>0</v>
      </c>
      <c r="AD66" s="11">
        <v>0</v>
      </c>
      <c r="AE66" s="12">
        <v>0</v>
      </c>
      <c r="AG66" s="45">
        <f t="shared" si="4"/>
        <v>1</v>
      </c>
      <c r="AH66" s="45">
        <f t="shared" si="2"/>
        <v>1</v>
      </c>
      <c r="AI66" s="45">
        <f t="shared" si="5"/>
        <v>0</v>
      </c>
      <c r="AJ66" s="45">
        <f t="shared" si="6"/>
        <v>0</v>
      </c>
      <c r="AK66" s="45">
        <f t="shared" si="3"/>
        <v>0</v>
      </c>
      <c r="AL66" s="1">
        <f t="shared" si="7"/>
        <v>0</v>
      </c>
      <c r="AM66" s="1">
        <f t="shared" si="8"/>
        <v>0</v>
      </c>
      <c r="AO66" s="45">
        <f t="shared" si="9"/>
        <v>0</v>
      </c>
      <c r="AP66" s="45">
        <f t="shared" si="10"/>
        <v>0</v>
      </c>
      <c r="AQ66" s="45">
        <f t="shared" si="11"/>
        <v>0</v>
      </c>
    </row>
    <row r="67" spans="1:43" ht="15" thickTop="1" thickBot="1" x14ac:dyDescent="0.5">
      <c r="A67" s="68" t="str">
        <f>IF(ISTEXT('Data Sheet'!B67),'Data Sheet'!B67&amp;" "&amp;'Data Sheet'!A67,"")</f>
        <v>HYDIA BLACKWELL</v>
      </c>
      <c r="B67" s="70">
        <f>'Data Sheet'!C67</f>
        <v>65</v>
      </c>
      <c r="C67" s="38"/>
      <c r="D67" s="44">
        <f>'Data Sheet'!E67</f>
        <v>0</v>
      </c>
      <c r="E67" s="44">
        <f>'Data Sheet'!F67</f>
        <v>1</v>
      </c>
      <c r="F67" s="44">
        <f>'Data Sheet'!G67</f>
        <v>3</v>
      </c>
      <c r="G67" s="44">
        <f>'Data Sheet'!H67</f>
        <v>3</v>
      </c>
      <c r="H67" s="44">
        <f>'Data Sheet'!I67</f>
        <v>1</v>
      </c>
      <c r="I67" s="44">
        <f>'Data Sheet'!J67</f>
        <v>0</v>
      </c>
      <c r="J67" s="44">
        <f>'Data Sheet'!K67</f>
        <v>0</v>
      </c>
      <c r="K67" s="44">
        <f>'Data Sheet'!L67</f>
        <v>0</v>
      </c>
      <c r="L67" s="44">
        <f>'Data Sheet'!M67</f>
        <v>0</v>
      </c>
      <c r="M67" s="5"/>
      <c r="N67" s="44">
        <f>'Data Sheet'!O67</f>
        <v>0</v>
      </c>
      <c r="O67" s="44">
        <f>'Data Sheet'!P67</f>
        <v>0</v>
      </c>
      <c r="P67" s="44">
        <f>'Data Sheet'!Q67</f>
        <v>0</v>
      </c>
      <c r="Q67" s="44">
        <f>'Data Sheet'!R67</f>
        <v>0</v>
      </c>
      <c r="R67" s="44">
        <f>'Data Sheet'!S67</f>
        <v>0</v>
      </c>
      <c r="S67" s="44">
        <f>'Data Sheet'!T67</f>
        <v>0</v>
      </c>
      <c r="T67" s="44">
        <f>'Data Sheet'!U67</f>
        <v>0</v>
      </c>
      <c r="U67" s="44">
        <f>'Data Sheet'!V67</f>
        <v>0</v>
      </c>
      <c r="V67" s="5"/>
      <c r="W67" s="16" t="str">
        <f t="shared" si="1"/>
        <v/>
      </c>
      <c r="X67" s="10">
        <v>1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2">
        <v>0</v>
      </c>
      <c r="AG67" s="45">
        <f t="shared" si="4"/>
        <v>1</v>
      </c>
      <c r="AH67" s="45">
        <f t="shared" si="2"/>
        <v>1</v>
      </c>
      <c r="AI67" s="45">
        <f t="shared" si="5"/>
        <v>0</v>
      </c>
      <c r="AJ67" s="45">
        <f t="shared" si="6"/>
        <v>0</v>
      </c>
      <c r="AK67" s="45">
        <f t="shared" si="3"/>
        <v>0</v>
      </c>
      <c r="AL67" s="1">
        <f t="shared" si="7"/>
        <v>0</v>
      </c>
      <c r="AM67" s="1">
        <f t="shared" si="8"/>
        <v>0</v>
      </c>
      <c r="AO67" s="45">
        <f t="shared" si="9"/>
        <v>0</v>
      </c>
      <c r="AP67" s="45">
        <f t="shared" si="10"/>
        <v>0</v>
      </c>
      <c r="AQ67" s="45">
        <f t="shared" si="11"/>
        <v>0</v>
      </c>
    </row>
    <row r="68" spans="1:43" ht="15" thickTop="1" thickBot="1" x14ac:dyDescent="0.5">
      <c r="A68" s="68" t="str">
        <f>IF(ISTEXT('Data Sheet'!B68),'Data Sheet'!B68&amp;" "&amp;'Data Sheet'!A68,"")</f>
        <v>NAWAL ELGABRY</v>
      </c>
      <c r="B68" s="70">
        <f>'Data Sheet'!C68</f>
        <v>66</v>
      </c>
      <c r="C68" s="38"/>
      <c r="D68" s="44">
        <f>'Data Sheet'!E68</f>
        <v>0</v>
      </c>
      <c r="E68" s="44">
        <f>'Data Sheet'!F68</f>
        <v>1</v>
      </c>
      <c r="F68" s="44">
        <f>'Data Sheet'!G68</f>
        <v>2</v>
      </c>
      <c r="G68" s="44">
        <f>'Data Sheet'!H68</f>
        <v>4</v>
      </c>
      <c r="H68" s="44">
        <f>'Data Sheet'!I68</f>
        <v>0</v>
      </c>
      <c r="I68" s="44">
        <f>'Data Sheet'!J68</f>
        <v>0</v>
      </c>
      <c r="J68" s="44">
        <f>'Data Sheet'!K68</f>
        <v>0</v>
      </c>
      <c r="K68" s="44">
        <f>'Data Sheet'!L68</f>
        <v>0</v>
      </c>
      <c r="L68" s="44">
        <f>'Data Sheet'!M68</f>
        <v>0</v>
      </c>
      <c r="M68" s="5"/>
      <c r="N68" s="44">
        <f>'Data Sheet'!O68</f>
        <v>0</v>
      </c>
      <c r="O68" s="44">
        <f>'Data Sheet'!P68</f>
        <v>0</v>
      </c>
      <c r="P68" s="44">
        <f>'Data Sheet'!Q68</f>
        <v>1</v>
      </c>
      <c r="Q68" s="44">
        <f>'Data Sheet'!R68</f>
        <v>0</v>
      </c>
      <c r="R68" s="44">
        <f>'Data Sheet'!S68</f>
        <v>0</v>
      </c>
      <c r="S68" s="44">
        <f>'Data Sheet'!T68</f>
        <v>0</v>
      </c>
      <c r="T68" s="44">
        <f>'Data Sheet'!U68</f>
        <v>0</v>
      </c>
      <c r="U68" s="44">
        <f>'Data Sheet'!V68</f>
        <v>0</v>
      </c>
      <c r="V68" s="5"/>
      <c r="W68" s="16" t="str">
        <f t="shared" ref="W68:W131" si="12">IF(I68=1,"IEP",IF(J68=1,"GIEP",""))</f>
        <v/>
      </c>
      <c r="X68" s="10">
        <v>0</v>
      </c>
      <c r="Y68" s="11">
        <v>0</v>
      </c>
      <c r="Z68" s="11">
        <v>1</v>
      </c>
      <c r="AA68" s="11">
        <v>0</v>
      </c>
      <c r="AB68" s="11">
        <v>0</v>
      </c>
      <c r="AC68" s="11">
        <v>0</v>
      </c>
      <c r="AD68" s="11">
        <v>0</v>
      </c>
      <c r="AE68" s="12">
        <v>0</v>
      </c>
      <c r="AG68" s="45">
        <f t="shared" si="4"/>
        <v>1</v>
      </c>
      <c r="AH68" s="45">
        <f t="shared" ref="AH68:AH131" si="13">IF(A68="",0,1)</f>
        <v>1</v>
      </c>
      <c r="AI68" s="45">
        <f t="shared" si="5"/>
        <v>0</v>
      </c>
      <c r="AJ68" s="45">
        <f t="shared" si="6"/>
        <v>0</v>
      </c>
      <c r="AK68" s="45">
        <f t="shared" ref="AK68:AK131" si="14">SUMPRODUCT(X68:AE68,N68:U68)</f>
        <v>1</v>
      </c>
      <c r="AL68" s="1">
        <f t="shared" si="7"/>
        <v>1</v>
      </c>
      <c r="AM68" s="1">
        <f t="shared" si="8"/>
        <v>0</v>
      </c>
      <c r="AO68" s="45">
        <f t="shared" si="9"/>
        <v>1</v>
      </c>
      <c r="AP68" s="45">
        <f t="shared" si="10"/>
        <v>1</v>
      </c>
      <c r="AQ68" s="45">
        <f t="shared" si="11"/>
        <v>0</v>
      </c>
    </row>
    <row r="69" spans="1:43" ht="15" thickTop="1" thickBot="1" x14ac:dyDescent="0.5">
      <c r="A69" s="68" t="str">
        <f>IF(ISTEXT('Data Sheet'!B69),'Data Sheet'!B69&amp;" "&amp;'Data Sheet'!A69,"")</f>
        <v>LILY HAMILTON</v>
      </c>
      <c r="B69" s="70">
        <f>'Data Sheet'!C69</f>
        <v>67</v>
      </c>
      <c r="C69" s="38"/>
      <c r="D69" s="44">
        <f>'Data Sheet'!E69</f>
        <v>0</v>
      </c>
      <c r="E69" s="44">
        <f>'Data Sheet'!F69</f>
        <v>0</v>
      </c>
      <c r="F69" s="44">
        <f>'Data Sheet'!G69</f>
        <v>3</v>
      </c>
      <c r="G69" s="44">
        <f>'Data Sheet'!H69</f>
        <v>4</v>
      </c>
      <c r="H69" s="44">
        <f>'Data Sheet'!I69</f>
        <v>0</v>
      </c>
      <c r="I69" s="44">
        <f>'Data Sheet'!J69</f>
        <v>0</v>
      </c>
      <c r="J69" s="44">
        <f>'Data Sheet'!K69</f>
        <v>0</v>
      </c>
      <c r="K69" s="44">
        <f>'Data Sheet'!L69</f>
        <v>0</v>
      </c>
      <c r="L69" s="44">
        <f>'Data Sheet'!M69</f>
        <v>0</v>
      </c>
      <c r="M69" s="5"/>
      <c r="N69" s="44">
        <f>'Data Sheet'!O69</f>
        <v>0</v>
      </c>
      <c r="O69" s="44">
        <f>'Data Sheet'!P69</f>
        <v>0</v>
      </c>
      <c r="P69" s="44">
        <f>'Data Sheet'!Q69</f>
        <v>0</v>
      </c>
      <c r="Q69" s="44">
        <f>'Data Sheet'!R69</f>
        <v>0</v>
      </c>
      <c r="R69" s="44">
        <f>'Data Sheet'!S69</f>
        <v>0</v>
      </c>
      <c r="S69" s="44">
        <f>'Data Sheet'!T69</f>
        <v>0</v>
      </c>
      <c r="T69" s="44">
        <f>'Data Sheet'!U69</f>
        <v>0</v>
      </c>
      <c r="U69" s="44">
        <f>'Data Sheet'!V69</f>
        <v>1</v>
      </c>
      <c r="V69" s="5"/>
      <c r="W69" s="16" t="str">
        <f t="shared" si="12"/>
        <v/>
      </c>
      <c r="X69" s="10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2">
        <v>1</v>
      </c>
      <c r="AG69" s="45">
        <f t="shared" ref="AG69:AG132" si="15">SUM(X69:AE69)</f>
        <v>1</v>
      </c>
      <c r="AH69" s="45">
        <f t="shared" si="13"/>
        <v>1</v>
      </c>
      <c r="AI69" s="45">
        <f t="shared" ref="AI69:AI132" si="16">SUMIF($X$3:$AE$3,W69,X69:AE69)</f>
        <v>0</v>
      </c>
      <c r="AJ69" s="45">
        <f t="shared" ref="AJ69:AJ132" si="17">IF(OR(W69="IEP",W69="GIEP"),1,0)</f>
        <v>0</v>
      </c>
      <c r="AK69" s="45">
        <f t="shared" si="14"/>
        <v>1</v>
      </c>
      <c r="AL69" s="1">
        <f t="shared" ref="AL69:AL132" si="18">MAX(N69:U69)</f>
        <v>1</v>
      </c>
      <c r="AM69" s="1">
        <f t="shared" ref="AM69:AM132" si="19">IF(AL69&gt;AK69,1,0)</f>
        <v>0</v>
      </c>
      <c r="AO69" s="45">
        <f t="shared" ref="AO69:AO132" si="20">SUMIF(N69:U69,1,X69:AE69)</f>
        <v>1</v>
      </c>
      <c r="AP69" s="45">
        <f t="shared" ref="AP69:AP132" si="21">IF(SUMIF(N69:U69,1)&gt;0,1,0)</f>
        <v>1</v>
      </c>
      <c r="AQ69" s="45">
        <f t="shared" ref="AQ69:AQ132" si="22">SUMIF(N69:U69,-1,X69:AE69)</f>
        <v>0</v>
      </c>
    </row>
    <row r="70" spans="1:43" ht="15" thickTop="1" thickBot="1" x14ac:dyDescent="0.5">
      <c r="A70" s="68" t="str">
        <f>IF(ISTEXT('Data Sheet'!B70),'Data Sheet'!B70&amp;" "&amp;'Data Sheet'!A70,"")</f>
        <v>ALEXA PAULINE JUMAWAN</v>
      </c>
      <c r="B70" s="70">
        <f>'Data Sheet'!C70</f>
        <v>68</v>
      </c>
      <c r="C70" s="38"/>
      <c r="D70" s="44">
        <f>'Data Sheet'!E70</f>
        <v>0</v>
      </c>
      <c r="E70" s="44">
        <f>'Data Sheet'!F70</f>
        <v>1</v>
      </c>
      <c r="F70" s="44">
        <f>'Data Sheet'!G70</f>
        <v>2</v>
      </c>
      <c r="G70" s="44">
        <f>'Data Sheet'!H70</f>
        <v>4</v>
      </c>
      <c r="H70" s="44">
        <f>'Data Sheet'!I70</f>
        <v>0</v>
      </c>
      <c r="I70" s="44">
        <f>'Data Sheet'!J70</f>
        <v>0</v>
      </c>
      <c r="J70" s="44">
        <f>'Data Sheet'!K70</f>
        <v>0</v>
      </c>
      <c r="K70" s="44">
        <f>'Data Sheet'!L70</f>
        <v>0</v>
      </c>
      <c r="L70" s="44">
        <f>'Data Sheet'!M70</f>
        <v>0</v>
      </c>
      <c r="M70" s="5"/>
      <c r="N70" s="44">
        <f>'Data Sheet'!O70</f>
        <v>0</v>
      </c>
      <c r="O70" s="44">
        <f>'Data Sheet'!P70</f>
        <v>0</v>
      </c>
      <c r="P70" s="44">
        <f>'Data Sheet'!Q70</f>
        <v>1</v>
      </c>
      <c r="Q70" s="44">
        <f>'Data Sheet'!R70</f>
        <v>0</v>
      </c>
      <c r="R70" s="44">
        <f>'Data Sheet'!S70</f>
        <v>0</v>
      </c>
      <c r="S70" s="44">
        <f>'Data Sheet'!T70</f>
        <v>0</v>
      </c>
      <c r="T70" s="44">
        <f>'Data Sheet'!U70</f>
        <v>0</v>
      </c>
      <c r="U70" s="44">
        <f>'Data Sheet'!V70</f>
        <v>0</v>
      </c>
      <c r="V70" s="5"/>
      <c r="W70" s="16" t="str">
        <f t="shared" si="12"/>
        <v/>
      </c>
      <c r="X70" s="10">
        <v>0</v>
      </c>
      <c r="Y70" s="11">
        <v>0</v>
      </c>
      <c r="Z70" s="11">
        <v>1</v>
      </c>
      <c r="AA70" s="11">
        <v>0</v>
      </c>
      <c r="AB70" s="11">
        <v>0</v>
      </c>
      <c r="AC70" s="11">
        <v>0</v>
      </c>
      <c r="AD70" s="11">
        <v>0</v>
      </c>
      <c r="AE70" s="12">
        <v>0</v>
      </c>
      <c r="AG70" s="45">
        <f t="shared" si="15"/>
        <v>1</v>
      </c>
      <c r="AH70" s="45">
        <f t="shared" si="13"/>
        <v>1</v>
      </c>
      <c r="AI70" s="45">
        <f t="shared" si="16"/>
        <v>0</v>
      </c>
      <c r="AJ70" s="45">
        <f t="shared" si="17"/>
        <v>0</v>
      </c>
      <c r="AK70" s="45">
        <f t="shared" si="14"/>
        <v>1</v>
      </c>
      <c r="AL70" s="1">
        <f t="shared" si="18"/>
        <v>1</v>
      </c>
      <c r="AM70" s="1">
        <f t="shared" si="19"/>
        <v>0</v>
      </c>
      <c r="AO70" s="45">
        <f t="shared" si="20"/>
        <v>1</v>
      </c>
      <c r="AP70" s="45">
        <f t="shared" si="21"/>
        <v>1</v>
      </c>
      <c r="AQ70" s="45">
        <f t="shared" si="22"/>
        <v>0</v>
      </c>
    </row>
    <row r="71" spans="1:43" ht="15" thickTop="1" thickBot="1" x14ac:dyDescent="0.5">
      <c r="A71" s="68" t="str">
        <f>IF(ISTEXT('Data Sheet'!B71),'Data Sheet'!B71&amp;" "&amp;'Data Sheet'!A71,"")</f>
        <v>JAZMYN RICHARD</v>
      </c>
      <c r="B71" s="70">
        <f>'Data Sheet'!C71</f>
        <v>69</v>
      </c>
      <c r="C71" s="38"/>
      <c r="D71" s="44">
        <f>'Data Sheet'!E71</f>
        <v>0</v>
      </c>
      <c r="E71" s="44">
        <f>'Data Sheet'!F71</f>
        <v>0</v>
      </c>
      <c r="F71" s="44">
        <f>'Data Sheet'!G71</f>
        <v>3</v>
      </c>
      <c r="G71" s="44">
        <f>'Data Sheet'!H71</f>
        <v>4</v>
      </c>
      <c r="H71" s="44">
        <f>'Data Sheet'!I71</f>
        <v>0</v>
      </c>
      <c r="I71" s="44">
        <f>'Data Sheet'!J71</f>
        <v>0</v>
      </c>
      <c r="J71" s="44">
        <f>'Data Sheet'!K71</f>
        <v>0</v>
      </c>
      <c r="K71" s="44">
        <f>'Data Sheet'!L71</f>
        <v>0</v>
      </c>
      <c r="L71" s="44">
        <f>'Data Sheet'!M71</f>
        <v>0</v>
      </c>
      <c r="M71" s="5"/>
      <c r="N71" s="44">
        <f>'Data Sheet'!O71</f>
        <v>0</v>
      </c>
      <c r="O71" s="44">
        <f>'Data Sheet'!P71</f>
        <v>0</v>
      </c>
      <c r="P71" s="44">
        <f>'Data Sheet'!Q71</f>
        <v>0</v>
      </c>
      <c r="Q71" s="44">
        <f>'Data Sheet'!R71</f>
        <v>0</v>
      </c>
      <c r="R71" s="44">
        <f>'Data Sheet'!S71</f>
        <v>0</v>
      </c>
      <c r="S71" s="44">
        <f>'Data Sheet'!T71</f>
        <v>0</v>
      </c>
      <c r="T71" s="44">
        <f>'Data Sheet'!U71</f>
        <v>0</v>
      </c>
      <c r="U71" s="44">
        <f>'Data Sheet'!V71</f>
        <v>0</v>
      </c>
      <c r="V71" s="5"/>
      <c r="W71" s="16" t="str">
        <f t="shared" si="12"/>
        <v/>
      </c>
      <c r="X71" s="10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1</v>
      </c>
      <c r="AD71" s="11">
        <v>0</v>
      </c>
      <c r="AE71" s="12">
        <v>0</v>
      </c>
      <c r="AG71" s="45">
        <f t="shared" si="15"/>
        <v>1</v>
      </c>
      <c r="AH71" s="45">
        <f t="shared" si="13"/>
        <v>1</v>
      </c>
      <c r="AI71" s="45">
        <f t="shared" si="16"/>
        <v>0</v>
      </c>
      <c r="AJ71" s="45">
        <f t="shared" si="17"/>
        <v>0</v>
      </c>
      <c r="AK71" s="45">
        <f t="shared" si="14"/>
        <v>0</v>
      </c>
      <c r="AL71" s="1">
        <f t="shared" si="18"/>
        <v>0</v>
      </c>
      <c r="AM71" s="1">
        <f t="shared" si="19"/>
        <v>0</v>
      </c>
      <c r="AO71" s="45">
        <f t="shared" si="20"/>
        <v>0</v>
      </c>
      <c r="AP71" s="45">
        <f t="shared" si="21"/>
        <v>0</v>
      </c>
      <c r="AQ71" s="45">
        <f t="shared" si="22"/>
        <v>0</v>
      </c>
    </row>
    <row r="72" spans="1:43" ht="15" thickTop="1" thickBot="1" x14ac:dyDescent="0.5">
      <c r="A72" s="68" t="str">
        <f>IF(ISTEXT('Data Sheet'!B72),'Data Sheet'!B72&amp;" "&amp;'Data Sheet'!A72,"")</f>
        <v>ZAHIR STEPHENS</v>
      </c>
      <c r="B72" s="70">
        <f>'Data Sheet'!C72</f>
        <v>70</v>
      </c>
      <c r="C72" s="38"/>
      <c r="D72" s="44">
        <f>'Data Sheet'!E72</f>
        <v>1</v>
      </c>
      <c r="E72" s="44">
        <f>'Data Sheet'!F72</f>
        <v>1</v>
      </c>
      <c r="F72" s="44">
        <f>'Data Sheet'!G72</f>
        <v>3</v>
      </c>
      <c r="G72" s="44">
        <f>'Data Sheet'!H72</f>
        <v>4</v>
      </c>
      <c r="H72" s="44">
        <f>'Data Sheet'!I72</f>
        <v>0</v>
      </c>
      <c r="I72" s="44">
        <f>'Data Sheet'!J72</f>
        <v>0</v>
      </c>
      <c r="J72" s="44">
        <f>'Data Sheet'!K72</f>
        <v>0</v>
      </c>
      <c r="K72" s="44">
        <f>'Data Sheet'!L72</f>
        <v>0</v>
      </c>
      <c r="L72" s="44">
        <f>'Data Sheet'!M72</f>
        <v>0</v>
      </c>
      <c r="M72" s="5"/>
      <c r="N72" s="44">
        <f>'Data Sheet'!O72</f>
        <v>0</v>
      </c>
      <c r="O72" s="44">
        <f>'Data Sheet'!P72</f>
        <v>0</v>
      </c>
      <c r="P72" s="44">
        <f>'Data Sheet'!Q72</f>
        <v>0</v>
      </c>
      <c r="Q72" s="44">
        <f>'Data Sheet'!R72</f>
        <v>0</v>
      </c>
      <c r="R72" s="44">
        <f>'Data Sheet'!S72</f>
        <v>0</v>
      </c>
      <c r="S72" s="44">
        <f>'Data Sheet'!T72</f>
        <v>0</v>
      </c>
      <c r="T72" s="44">
        <f>'Data Sheet'!U72</f>
        <v>0</v>
      </c>
      <c r="U72" s="44">
        <f>'Data Sheet'!V72</f>
        <v>0</v>
      </c>
      <c r="V72" s="5"/>
      <c r="W72" s="16" t="str">
        <f t="shared" si="12"/>
        <v/>
      </c>
      <c r="X72" s="10">
        <v>0</v>
      </c>
      <c r="Y72" s="11">
        <v>0</v>
      </c>
      <c r="Z72" s="11">
        <v>1</v>
      </c>
      <c r="AA72" s="11">
        <v>0</v>
      </c>
      <c r="AB72" s="11">
        <v>0</v>
      </c>
      <c r="AC72" s="11">
        <v>0</v>
      </c>
      <c r="AD72" s="11">
        <v>0</v>
      </c>
      <c r="AE72" s="12">
        <v>0</v>
      </c>
      <c r="AG72" s="45">
        <f t="shared" si="15"/>
        <v>1</v>
      </c>
      <c r="AH72" s="45">
        <f t="shared" si="13"/>
        <v>1</v>
      </c>
      <c r="AI72" s="45">
        <f t="shared" si="16"/>
        <v>0</v>
      </c>
      <c r="AJ72" s="45">
        <f t="shared" si="17"/>
        <v>0</v>
      </c>
      <c r="AK72" s="45">
        <f t="shared" si="14"/>
        <v>0</v>
      </c>
      <c r="AL72" s="1">
        <f t="shared" si="18"/>
        <v>0</v>
      </c>
      <c r="AM72" s="1">
        <f t="shared" si="19"/>
        <v>0</v>
      </c>
      <c r="AO72" s="45">
        <f t="shared" si="20"/>
        <v>0</v>
      </c>
      <c r="AP72" s="45">
        <f t="shared" si="21"/>
        <v>0</v>
      </c>
      <c r="AQ72" s="45">
        <f t="shared" si="22"/>
        <v>0</v>
      </c>
    </row>
    <row r="73" spans="1:43" ht="15" thickTop="1" thickBot="1" x14ac:dyDescent="0.5">
      <c r="A73" s="68" t="str">
        <f>IF(ISTEXT('Data Sheet'!B73),'Data Sheet'!B73&amp;" "&amp;'Data Sheet'!A73,"")</f>
        <v>JOSIE WILSON-BROWN</v>
      </c>
      <c r="B73" s="70">
        <f>'Data Sheet'!C73</f>
        <v>71</v>
      </c>
      <c r="C73" s="38"/>
      <c r="D73" s="44">
        <f>'Data Sheet'!E73</f>
        <v>0</v>
      </c>
      <c r="E73" s="44">
        <f>'Data Sheet'!F73</f>
        <v>1</v>
      </c>
      <c r="F73" s="44">
        <f>'Data Sheet'!G73</f>
        <v>3</v>
      </c>
      <c r="G73" s="44">
        <f>'Data Sheet'!H73</f>
        <v>4</v>
      </c>
      <c r="H73" s="44">
        <f>'Data Sheet'!I73</f>
        <v>0</v>
      </c>
      <c r="I73" s="44">
        <f>'Data Sheet'!J73</f>
        <v>0</v>
      </c>
      <c r="J73" s="44">
        <f>'Data Sheet'!K73</f>
        <v>0</v>
      </c>
      <c r="K73" s="44">
        <f>'Data Sheet'!L73</f>
        <v>0</v>
      </c>
      <c r="L73" s="44">
        <f>'Data Sheet'!M73</f>
        <v>0</v>
      </c>
      <c r="M73" s="5"/>
      <c r="N73" s="44">
        <f>'Data Sheet'!O73</f>
        <v>0</v>
      </c>
      <c r="O73" s="44">
        <f>'Data Sheet'!P73</f>
        <v>0</v>
      </c>
      <c r="P73" s="44">
        <f>'Data Sheet'!Q73</f>
        <v>0</v>
      </c>
      <c r="Q73" s="44">
        <f>'Data Sheet'!R73</f>
        <v>0</v>
      </c>
      <c r="R73" s="44">
        <f>'Data Sheet'!S73</f>
        <v>0</v>
      </c>
      <c r="S73" s="44">
        <f>'Data Sheet'!T73</f>
        <v>0</v>
      </c>
      <c r="T73" s="44">
        <f>'Data Sheet'!U73</f>
        <v>0</v>
      </c>
      <c r="U73" s="44">
        <f>'Data Sheet'!V73</f>
        <v>0</v>
      </c>
      <c r="V73" s="5"/>
      <c r="W73" s="16" t="str">
        <f t="shared" si="12"/>
        <v/>
      </c>
      <c r="X73" s="10">
        <v>0</v>
      </c>
      <c r="Y73" s="11">
        <v>0</v>
      </c>
      <c r="Z73" s="11">
        <v>1</v>
      </c>
      <c r="AA73" s="11">
        <v>0</v>
      </c>
      <c r="AB73" s="11">
        <v>0</v>
      </c>
      <c r="AC73" s="11">
        <v>0</v>
      </c>
      <c r="AD73" s="11">
        <v>0</v>
      </c>
      <c r="AE73" s="12">
        <v>0</v>
      </c>
      <c r="AG73" s="45">
        <f t="shared" si="15"/>
        <v>1</v>
      </c>
      <c r="AH73" s="45">
        <f t="shared" si="13"/>
        <v>1</v>
      </c>
      <c r="AI73" s="45">
        <f t="shared" si="16"/>
        <v>0</v>
      </c>
      <c r="AJ73" s="45">
        <f t="shared" si="17"/>
        <v>0</v>
      </c>
      <c r="AK73" s="45">
        <f t="shared" si="14"/>
        <v>0</v>
      </c>
      <c r="AL73" s="1">
        <f t="shared" si="18"/>
        <v>0</v>
      </c>
      <c r="AM73" s="1">
        <f t="shared" si="19"/>
        <v>0</v>
      </c>
      <c r="AO73" s="45">
        <f t="shared" si="20"/>
        <v>0</v>
      </c>
      <c r="AP73" s="45">
        <f t="shared" si="21"/>
        <v>0</v>
      </c>
      <c r="AQ73" s="45">
        <f t="shared" si="22"/>
        <v>0</v>
      </c>
    </row>
    <row r="74" spans="1:43" ht="15" thickTop="1" thickBot="1" x14ac:dyDescent="0.5">
      <c r="A74" s="68" t="str">
        <f>IF(ISTEXT('Data Sheet'!B74),'Data Sheet'!B74&amp;" "&amp;'Data Sheet'!A74,"")</f>
        <v>ALANA BANEY</v>
      </c>
      <c r="B74" s="70">
        <f>'Data Sheet'!C74</f>
        <v>72</v>
      </c>
      <c r="C74" s="38"/>
      <c r="D74" s="44">
        <f>'Data Sheet'!E74</f>
        <v>0</v>
      </c>
      <c r="E74" s="44">
        <f>'Data Sheet'!F74</f>
        <v>0</v>
      </c>
      <c r="F74" s="44">
        <f>'Data Sheet'!G74</f>
        <v>2</v>
      </c>
      <c r="G74" s="44">
        <f>'Data Sheet'!H74</f>
        <v>4</v>
      </c>
      <c r="H74" s="44">
        <f>'Data Sheet'!I74</f>
        <v>0</v>
      </c>
      <c r="I74" s="44">
        <f>'Data Sheet'!J74</f>
        <v>0</v>
      </c>
      <c r="J74" s="44">
        <f>'Data Sheet'!K74</f>
        <v>0</v>
      </c>
      <c r="K74" s="44">
        <f>'Data Sheet'!L74</f>
        <v>0</v>
      </c>
      <c r="L74" s="44">
        <f>'Data Sheet'!M74</f>
        <v>0</v>
      </c>
      <c r="M74" s="5"/>
      <c r="N74" s="44">
        <f>'Data Sheet'!O74</f>
        <v>0</v>
      </c>
      <c r="O74" s="44">
        <f>'Data Sheet'!P74</f>
        <v>0</v>
      </c>
      <c r="P74" s="44">
        <f>'Data Sheet'!Q74</f>
        <v>0</v>
      </c>
      <c r="Q74" s="44">
        <f>'Data Sheet'!R74</f>
        <v>0</v>
      </c>
      <c r="R74" s="44">
        <f>'Data Sheet'!S74</f>
        <v>0</v>
      </c>
      <c r="S74" s="44">
        <f>'Data Sheet'!T74</f>
        <v>0</v>
      </c>
      <c r="T74" s="44">
        <f>'Data Sheet'!U74</f>
        <v>0</v>
      </c>
      <c r="U74" s="44">
        <f>'Data Sheet'!V74</f>
        <v>0</v>
      </c>
      <c r="V74" s="5"/>
      <c r="W74" s="16" t="str">
        <f t="shared" si="12"/>
        <v/>
      </c>
      <c r="X74" s="10">
        <v>0</v>
      </c>
      <c r="Y74" s="11">
        <v>1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2">
        <v>0</v>
      </c>
      <c r="AG74" s="45">
        <f t="shared" si="15"/>
        <v>1</v>
      </c>
      <c r="AH74" s="45">
        <f t="shared" si="13"/>
        <v>1</v>
      </c>
      <c r="AI74" s="45">
        <f t="shared" si="16"/>
        <v>0</v>
      </c>
      <c r="AJ74" s="45">
        <f t="shared" si="17"/>
        <v>0</v>
      </c>
      <c r="AK74" s="45">
        <f t="shared" si="14"/>
        <v>0</v>
      </c>
      <c r="AL74" s="1">
        <f t="shared" si="18"/>
        <v>0</v>
      </c>
      <c r="AM74" s="1">
        <f t="shared" si="19"/>
        <v>0</v>
      </c>
      <c r="AO74" s="45">
        <f t="shared" si="20"/>
        <v>0</v>
      </c>
      <c r="AP74" s="45">
        <f t="shared" si="21"/>
        <v>0</v>
      </c>
      <c r="AQ74" s="45">
        <f t="shared" si="22"/>
        <v>0</v>
      </c>
    </row>
    <row r="75" spans="1:43" ht="15" thickTop="1" thickBot="1" x14ac:dyDescent="0.5">
      <c r="A75" s="68" t="str">
        <f>IF(ISTEXT('Data Sheet'!B75),'Data Sheet'!B75&amp;" "&amp;'Data Sheet'!A75,"")</f>
        <v>ROBERT DAVIS</v>
      </c>
      <c r="B75" s="70">
        <f>'Data Sheet'!C75</f>
        <v>73</v>
      </c>
      <c r="C75" s="38"/>
      <c r="D75" s="44">
        <f>'Data Sheet'!E75</f>
        <v>1</v>
      </c>
      <c r="E75" s="44">
        <f>'Data Sheet'!F75</f>
        <v>0</v>
      </c>
      <c r="F75" s="44">
        <f>'Data Sheet'!G75</f>
        <v>2</v>
      </c>
      <c r="G75" s="44">
        <f>'Data Sheet'!H75</f>
        <v>3</v>
      </c>
      <c r="H75" s="44">
        <f>'Data Sheet'!I75</f>
        <v>0</v>
      </c>
      <c r="I75" s="44">
        <f>'Data Sheet'!J75</f>
        <v>0</v>
      </c>
      <c r="J75" s="44">
        <f>'Data Sheet'!K75</f>
        <v>0</v>
      </c>
      <c r="K75" s="44">
        <f>'Data Sheet'!L75</f>
        <v>0</v>
      </c>
      <c r="L75" s="44">
        <f>'Data Sheet'!M75</f>
        <v>0</v>
      </c>
      <c r="M75" s="5"/>
      <c r="N75" s="44">
        <f>'Data Sheet'!O75</f>
        <v>0</v>
      </c>
      <c r="O75" s="44">
        <f>'Data Sheet'!P75</f>
        <v>0</v>
      </c>
      <c r="P75" s="44">
        <f>'Data Sheet'!Q75</f>
        <v>0</v>
      </c>
      <c r="Q75" s="44">
        <f>'Data Sheet'!R75</f>
        <v>0</v>
      </c>
      <c r="R75" s="44">
        <f>'Data Sheet'!S75</f>
        <v>0</v>
      </c>
      <c r="S75" s="44">
        <f>'Data Sheet'!T75</f>
        <v>0</v>
      </c>
      <c r="T75" s="44">
        <f>'Data Sheet'!U75</f>
        <v>0</v>
      </c>
      <c r="U75" s="44">
        <f>'Data Sheet'!V75</f>
        <v>0</v>
      </c>
      <c r="V75" s="5"/>
      <c r="W75" s="16" t="str">
        <f t="shared" si="12"/>
        <v/>
      </c>
      <c r="X75" s="10">
        <v>0</v>
      </c>
      <c r="Y75" s="11">
        <v>1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2">
        <v>0</v>
      </c>
      <c r="AG75" s="45">
        <f t="shared" si="15"/>
        <v>1</v>
      </c>
      <c r="AH75" s="45">
        <f t="shared" si="13"/>
        <v>1</v>
      </c>
      <c r="AI75" s="45">
        <f t="shared" si="16"/>
        <v>0</v>
      </c>
      <c r="AJ75" s="45">
        <f t="shared" si="17"/>
        <v>0</v>
      </c>
      <c r="AK75" s="45">
        <f t="shared" si="14"/>
        <v>0</v>
      </c>
      <c r="AL75" s="1">
        <f t="shared" si="18"/>
        <v>0</v>
      </c>
      <c r="AM75" s="1">
        <f t="shared" si="19"/>
        <v>0</v>
      </c>
      <c r="AO75" s="45">
        <f t="shared" si="20"/>
        <v>0</v>
      </c>
      <c r="AP75" s="45">
        <f t="shared" si="21"/>
        <v>0</v>
      </c>
      <c r="AQ75" s="45">
        <f t="shared" si="22"/>
        <v>0</v>
      </c>
    </row>
    <row r="76" spans="1:43" ht="15" thickTop="1" thickBot="1" x14ac:dyDescent="0.5">
      <c r="A76" s="68" t="str">
        <f>IF(ISTEXT('Data Sheet'!B76),'Data Sheet'!B76&amp;" "&amp;'Data Sheet'!A76,"")</f>
        <v>A'DRYN DRUMMOND</v>
      </c>
      <c r="B76" s="70">
        <f>'Data Sheet'!C76</f>
        <v>74</v>
      </c>
      <c r="C76" s="38"/>
      <c r="D76" s="44">
        <f>'Data Sheet'!E76</f>
        <v>1</v>
      </c>
      <c r="E76" s="44">
        <f>'Data Sheet'!F76</f>
        <v>1</v>
      </c>
      <c r="F76" s="44">
        <f>'Data Sheet'!G76</f>
        <v>2</v>
      </c>
      <c r="G76" s="44">
        <f>'Data Sheet'!H76</f>
        <v>4</v>
      </c>
      <c r="H76" s="44">
        <f>'Data Sheet'!I76</f>
        <v>0</v>
      </c>
      <c r="I76" s="44">
        <f>'Data Sheet'!J76</f>
        <v>0</v>
      </c>
      <c r="J76" s="44">
        <f>'Data Sheet'!K76</f>
        <v>0</v>
      </c>
      <c r="K76" s="44">
        <f>'Data Sheet'!L76</f>
        <v>0</v>
      </c>
      <c r="L76" s="44">
        <f>'Data Sheet'!M76</f>
        <v>0</v>
      </c>
      <c r="M76" s="5"/>
      <c r="N76" s="44">
        <f>'Data Sheet'!O76</f>
        <v>0</v>
      </c>
      <c r="O76" s="44">
        <f>'Data Sheet'!P76</f>
        <v>0</v>
      </c>
      <c r="P76" s="44">
        <f>'Data Sheet'!Q76</f>
        <v>0</v>
      </c>
      <c r="Q76" s="44">
        <f>'Data Sheet'!R76</f>
        <v>0</v>
      </c>
      <c r="R76" s="44">
        <f>'Data Sheet'!S76</f>
        <v>0</v>
      </c>
      <c r="S76" s="44">
        <f>'Data Sheet'!T76</f>
        <v>0</v>
      </c>
      <c r="T76" s="44">
        <f>'Data Sheet'!U76</f>
        <v>0</v>
      </c>
      <c r="U76" s="44">
        <f>'Data Sheet'!V76</f>
        <v>0</v>
      </c>
      <c r="V76" s="5"/>
      <c r="W76" s="16" t="str">
        <f t="shared" si="12"/>
        <v/>
      </c>
      <c r="X76" s="10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2">
        <v>1</v>
      </c>
      <c r="AG76" s="45">
        <f t="shared" si="15"/>
        <v>1</v>
      </c>
      <c r="AH76" s="45">
        <f t="shared" si="13"/>
        <v>1</v>
      </c>
      <c r="AI76" s="45">
        <f t="shared" si="16"/>
        <v>0</v>
      </c>
      <c r="AJ76" s="45">
        <f t="shared" si="17"/>
        <v>0</v>
      </c>
      <c r="AK76" s="45">
        <f t="shared" si="14"/>
        <v>0</v>
      </c>
      <c r="AL76" s="1">
        <f t="shared" si="18"/>
        <v>0</v>
      </c>
      <c r="AM76" s="1">
        <f t="shared" si="19"/>
        <v>0</v>
      </c>
      <c r="AO76" s="45">
        <f t="shared" si="20"/>
        <v>0</v>
      </c>
      <c r="AP76" s="45">
        <f t="shared" si="21"/>
        <v>0</v>
      </c>
      <c r="AQ76" s="45">
        <f t="shared" si="22"/>
        <v>0</v>
      </c>
    </row>
    <row r="77" spans="1:43" ht="15" thickTop="1" thickBot="1" x14ac:dyDescent="0.5">
      <c r="A77" s="68" t="str">
        <f>IF(ISTEXT('Data Sheet'!B77),'Data Sheet'!B77&amp;" "&amp;'Data Sheet'!A77,"")</f>
        <v>MADISON HAINES</v>
      </c>
      <c r="B77" s="70">
        <f>'Data Sheet'!C77</f>
        <v>75</v>
      </c>
      <c r="C77" s="38"/>
      <c r="D77" s="44">
        <f>'Data Sheet'!E77</f>
        <v>0</v>
      </c>
      <c r="E77" s="44">
        <f>'Data Sheet'!F77</f>
        <v>0</v>
      </c>
      <c r="F77" s="44">
        <f>'Data Sheet'!G77</f>
        <v>2</v>
      </c>
      <c r="G77" s="44">
        <f>'Data Sheet'!H77</f>
        <v>4</v>
      </c>
      <c r="H77" s="44">
        <f>'Data Sheet'!I77</f>
        <v>0</v>
      </c>
      <c r="I77" s="44">
        <f>'Data Sheet'!J77</f>
        <v>0</v>
      </c>
      <c r="J77" s="44">
        <f>'Data Sheet'!K77</f>
        <v>0</v>
      </c>
      <c r="K77" s="44">
        <f>'Data Sheet'!L77</f>
        <v>0</v>
      </c>
      <c r="L77" s="44">
        <f>'Data Sheet'!M77</f>
        <v>0</v>
      </c>
      <c r="M77" s="5"/>
      <c r="N77" s="44">
        <f>'Data Sheet'!O77</f>
        <v>0</v>
      </c>
      <c r="O77" s="44">
        <f>'Data Sheet'!P77</f>
        <v>0</v>
      </c>
      <c r="P77" s="44">
        <f>'Data Sheet'!Q77</f>
        <v>0</v>
      </c>
      <c r="Q77" s="44">
        <f>'Data Sheet'!R77</f>
        <v>0</v>
      </c>
      <c r="R77" s="44">
        <f>'Data Sheet'!S77</f>
        <v>0</v>
      </c>
      <c r="S77" s="44">
        <f>'Data Sheet'!T77</f>
        <v>0</v>
      </c>
      <c r="T77" s="44">
        <f>'Data Sheet'!U77</f>
        <v>0</v>
      </c>
      <c r="U77" s="44">
        <f>'Data Sheet'!V77</f>
        <v>0</v>
      </c>
      <c r="V77" s="5"/>
      <c r="W77" s="16" t="str">
        <f t="shared" si="12"/>
        <v/>
      </c>
      <c r="X77" s="10">
        <v>1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2">
        <v>0</v>
      </c>
      <c r="AG77" s="45">
        <f t="shared" si="15"/>
        <v>1</v>
      </c>
      <c r="AH77" s="45">
        <f t="shared" si="13"/>
        <v>1</v>
      </c>
      <c r="AI77" s="45">
        <f t="shared" si="16"/>
        <v>0</v>
      </c>
      <c r="AJ77" s="45">
        <f t="shared" si="17"/>
        <v>0</v>
      </c>
      <c r="AK77" s="45">
        <f t="shared" si="14"/>
        <v>0</v>
      </c>
      <c r="AL77" s="1">
        <f t="shared" si="18"/>
        <v>0</v>
      </c>
      <c r="AM77" s="1">
        <f t="shared" si="19"/>
        <v>0</v>
      </c>
      <c r="AO77" s="45">
        <f t="shared" si="20"/>
        <v>0</v>
      </c>
      <c r="AP77" s="45">
        <f t="shared" si="21"/>
        <v>0</v>
      </c>
      <c r="AQ77" s="45">
        <f t="shared" si="22"/>
        <v>0</v>
      </c>
    </row>
    <row r="78" spans="1:43" ht="15" thickTop="1" thickBot="1" x14ac:dyDescent="0.5">
      <c r="A78" s="68" t="str">
        <f>IF(ISTEXT('Data Sheet'!B78),'Data Sheet'!B78&amp;" "&amp;'Data Sheet'!A78,"")</f>
        <v>MAKHI MCLAUGHLIN</v>
      </c>
      <c r="B78" s="70">
        <f>'Data Sheet'!C78</f>
        <v>76</v>
      </c>
      <c r="C78" s="38"/>
      <c r="D78" s="44">
        <f>'Data Sheet'!E78</f>
        <v>0</v>
      </c>
      <c r="E78" s="44">
        <f>'Data Sheet'!F78</f>
        <v>1</v>
      </c>
      <c r="F78" s="44">
        <f>'Data Sheet'!G78</f>
        <v>2</v>
      </c>
      <c r="G78" s="44">
        <f>'Data Sheet'!H78</f>
        <v>4</v>
      </c>
      <c r="H78" s="44">
        <f>'Data Sheet'!I78</f>
        <v>0</v>
      </c>
      <c r="I78" s="44">
        <f>'Data Sheet'!J78</f>
        <v>0</v>
      </c>
      <c r="J78" s="44">
        <f>'Data Sheet'!K78</f>
        <v>0</v>
      </c>
      <c r="K78" s="44">
        <f>'Data Sheet'!L78</f>
        <v>0</v>
      </c>
      <c r="L78" s="44">
        <f>'Data Sheet'!M78</f>
        <v>0</v>
      </c>
      <c r="M78" s="5"/>
      <c r="N78" s="44">
        <f>'Data Sheet'!O78</f>
        <v>0</v>
      </c>
      <c r="O78" s="44">
        <f>'Data Sheet'!P78</f>
        <v>0</v>
      </c>
      <c r="P78" s="44">
        <f>'Data Sheet'!Q78</f>
        <v>0</v>
      </c>
      <c r="Q78" s="44">
        <f>'Data Sheet'!R78</f>
        <v>0</v>
      </c>
      <c r="R78" s="44">
        <f>'Data Sheet'!S78</f>
        <v>0</v>
      </c>
      <c r="S78" s="44">
        <f>'Data Sheet'!T78</f>
        <v>0</v>
      </c>
      <c r="T78" s="44">
        <f>'Data Sheet'!U78</f>
        <v>0</v>
      </c>
      <c r="U78" s="44">
        <f>'Data Sheet'!V78</f>
        <v>0</v>
      </c>
      <c r="V78" s="5"/>
      <c r="W78" s="16" t="str">
        <f t="shared" si="12"/>
        <v/>
      </c>
      <c r="X78" s="10">
        <v>0</v>
      </c>
      <c r="Y78" s="11">
        <v>1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2">
        <v>0</v>
      </c>
      <c r="AG78" s="45">
        <f t="shared" si="15"/>
        <v>1</v>
      </c>
      <c r="AH78" s="45">
        <f t="shared" si="13"/>
        <v>1</v>
      </c>
      <c r="AI78" s="45">
        <f t="shared" si="16"/>
        <v>0</v>
      </c>
      <c r="AJ78" s="45">
        <f t="shared" si="17"/>
        <v>0</v>
      </c>
      <c r="AK78" s="45">
        <f t="shared" si="14"/>
        <v>0</v>
      </c>
      <c r="AL78" s="1">
        <f t="shared" si="18"/>
        <v>0</v>
      </c>
      <c r="AM78" s="1">
        <f t="shared" si="19"/>
        <v>0</v>
      </c>
      <c r="AO78" s="45">
        <f t="shared" si="20"/>
        <v>0</v>
      </c>
      <c r="AP78" s="45">
        <f t="shared" si="21"/>
        <v>0</v>
      </c>
      <c r="AQ78" s="45">
        <f t="shared" si="22"/>
        <v>0</v>
      </c>
    </row>
    <row r="79" spans="1:43" ht="15" thickTop="1" thickBot="1" x14ac:dyDescent="0.5">
      <c r="A79" s="68" t="str">
        <f>IF(ISTEXT('Data Sheet'!B79),'Data Sheet'!B79&amp;" "&amp;'Data Sheet'!A79,"")</f>
        <v>VICTORIA WISLAR</v>
      </c>
      <c r="B79" s="70">
        <f>'Data Sheet'!C79</f>
        <v>77</v>
      </c>
      <c r="C79" s="38"/>
      <c r="D79" s="44">
        <f>'Data Sheet'!E79</f>
        <v>0</v>
      </c>
      <c r="E79" s="44">
        <f>'Data Sheet'!F79</f>
        <v>0</v>
      </c>
      <c r="F79" s="44">
        <f>'Data Sheet'!G79</f>
        <v>2</v>
      </c>
      <c r="G79" s="44">
        <f>'Data Sheet'!H79</f>
        <v>4</v>
      </c>
      <c r="H79" s="44">
        <f>'Data Sheet'!I79</f>
        <v>0</v>
      </c>
      <c r="I79" s="44">
        <f>'Data Sheet'!J79</f>
        <v>0</v>
      </c>
      <c r="J79" s="44">
        <f>'Data Sheet'!K79</f>
        <v>0</v>
      </c>
      <c r="K79" s="44">
        <f>'Data Sheet'!L79</f>
        <v>0</v>
      </c>
      <c r="L79" s="44">
        <f>'Data Sheet'!M79</f>
        <v>0</v>
      </c>
      <c r="M79" s="5"/>
      <c r="N79" s="44">
        <f>'Data Sheet'!O79</f>
        <v>0</v>
      </c>
      <c r="O79" s="44">
        <f>'Data Sheet'!P79</f>
        <v>0</v>
      </c>
      <c r="P79" s="44">
        <f>'Data Sheet'!Q79</f>
        <v>0</v>
      </c>
      <c r="Q79" s="44">
        <f>'Data Sheet'!R79</f>
        <v>0</v>
      </c>
      <c r="R79" s="44">
        <f>'Data Sheet'!S79</f>
        <v>0</v>
      </c>
      <c r="S79" s="44">
        <f>'Data Sheet'!T79</f>
        <v>0</v>
      </c>
      <c r="T79" s="44">
        <f>'Data Sheet'!U79</f>
        <v>0</v>
      </c>
      <c r="U79" s="44">
        <f>'Data Sheet'!V79</f>
        <v>0</v>
      </c>
      <c r="V79" s="5"/>
      <c r="W79" s="16" t="str">
        <f t="shared" si="12"/>
        <v/>
      </c>
      <c r="X79" s="10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2">
        <v>1</v>
      </c>
      <c r="AG79" s="45">
        <f t="shared" si="15"/>
        <v>1</v>
      </c>
      <c r="AH79" s="45">
        <f t="shared" si="13"/>
        <v>1</v>
      </c>
      <c r="AI79" s="45">
        <f t="shared" si="16"/>
        <v>0</v>
      </c>
      <c r="AJ79" s="45">
        <f t="shared" si="17"/>
        <v>0</v>
      </c>
      <c r="AK79" s="45">
        <f t="shared" si="14"/>
        <v>0</v>
      </c>
      <c r="AL79" s="1">
        <f t="shared" si="18"/>
        <v>0</v>
      </c>
      <c r="AM79" s="1">
        <f t="shared" si="19"/>
        <v>0</v>
      </c>
      <c r="AO79" s="45">
        <f t="shared" si="20"/>
        <v>0</v>
      </c>
      <c r="AP79" s="45">
        <f t="shared" si="21"/>
        <v>0</v>
      </c>
      <c r="AQ79" s="45">
        <f t="shared" si="22"/>
        <v>0</v>
      </c>
    </row>
    <row r="80" spans="1:43" ht="15" thickTop="1" thickBot="1" x14ac:dyDescent="0.5">
      <c r="A80" s="68" t="str">
        <f>IF(ISTEXT('Data Sheet'!B80),'Data Sheet'!B80&amp;" "&amp;'Data Sheet'!A80,"")</f>
        <v>DAYIANNA BAINES</v>
      </c>
      <c r="B80" s="70">
        <f>'Data Sheet'!C80</f>
        <v>78</v>
      </c>
      <c r="C80" s="38"/>
      <c r="D80" s="44">
        <f>'Data Sheet'!E80</f>
        <v>0</v>
      </c>
      <c r="E80" s="44">
        <f>'Data Sheet'!F80</f>
        <v>1</v>
      </c>
      <c r="F80" s="44">
        <f>'Data Sheet'!G80</f>
        <v>2</v>
      </c>
      <c r="G80" s="44">
        <f>'Data Sheet'!H80</f>
        <v>4</v>
      </c>
      <c r="H80" s="44">
        <f>'Data Sheet'!I80</f>
        <v>0</v>
      </c>
      <c r="I80" s="44">
        <f>'Data Sheet'!J80</f>
        <v>0</v>
      </c>
      <c r="J80" s="44">
        <f>'Data Sheet'!K80</f>
        <v>0</v>
      </c>
      <c r="K80" s="44">
        <f>'Data Sheet'!L80</f>
        <v>0</v>
      </c>
      <c r="L80" s="44">
        <f>'Data Sheet'!M80</f>
        <v>0</v>
      </c>
      <c r="M80" s="5"/>
      <c r="N80" s="44">
        <f>'Data Sheet'!O80</f>
        <v>0</v>
      </c>
      <c r="O80" s="44">
        <f>'Data Sheet'!P80</f>
        <v>0</v>
      </c>
      <c r="P80" s="44">
        <f>'Data Sheet'!Q80</f>
        <v>0</v>
      </c>
      <c r="Q80" s="44">
        <f>'Data Sheet'!R80</f>
        <v>0</v>
      </c>
      <c r="R80" s="44">
        <f>'Data Sheet'!S80</f>
        <v>0</v>
      </c>
      <c r="S80" s="44">
        <f>'Data Sheet'!T80</f>
        <v>0</v>
      </c>
      <c r="T80" s="44">
        <f>'Data Sheet'!U80</f>
        <v>0</v>
      </c>
      <c r="U80" s="44">
        <f>'Data Sheet'!V80</f>
        <v>0</v>
      </c>
      <c r="V80" s="5"/>
      <c r="W80" s="16" t="str">
        <f t="shared" si="12"/>
        <v/>
      </c>
      <c r="X80" s="10">
        <v>1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2">
        <v>0</v>
      </c>
      <c r="AG80" s="45">
        <f t="shared" si="15"/>
        <v>1</v>
      </c>
      <c r="AH80" s="45">
        <f t="shared" si="13"/>
        <v>1</v>
      </c>
      <c r="AI80" s="45">
        <f t="shared" si="16"/>
        <v>0</v>
      </c>
      <c r="AJ80" s="45">
        <f t="shared" si="17"/>
        <v>0</v>
      </c>
      <c r="AK80" s="45">
        <f t="shared" si="14"/>
        <v>0</v>
      </c>
      <c r="AL80" s="1">
        <f t="shared" si="18"/>
        <v>0</v>
      </c>
      <c r="AM80" s="1">
        <f t="shared" si="19"/>
        <v>0</v>
      </c>
      <c r="AO80" s="45">
        <f t="shared" si="20"/>
        <v>0</v>
      </c>
      <c r="AP80" s="45">
        <f t="shared" si="21"/>
        <v>0</v>
      </c>
      <c r="AQ80" s="45">
        <f t="shared" si="22"/>
        <v>0</v>
      </c>
    </row>
    <row r="81" spans="1:43" ht="15" thickTop="1" thickBot="1" x14ac:dyDescent="0.5">
      <c r="A81" s="68" t="str">
        <f>IF(ISTEXT('Data Sheet'!B81),'Data Sheet'!B81&amp;" "&amp;'Data Sheet'!A81,"")</f>
        <v>AMAYA BROWN</v>
      </c>
      <c r="B81" s="70">
        <f>'Data Sheet'!C81</f>
        <v>79</v>
      </c>
      <c r="C81" s="38"/>
      <c r="D81" s="44">
        <f>'Data Sheet'!E81</f>
        <v>0</v>
      </c>
      <c r="E81" s="44">
        <f>'Data Sheet'!F81</f>
        <v>0</v>
      </c>
      <c r="F81" s="44">
        <f>'Data Sheet'!G81</f>
        <v>2</v>
      </c>
      <c r="G81" s="44">
        <f>'Data Sheet'!H81</f>
        <v>4</v>
      </c>
      <c r="H81" s="44">
        <f>'Data Sheet'!I81</f>
        <v>0</v>
      </c>
      <c r="I81" s="44">
        <f>'Data Sheet'!J81</f>
        <v>1</v>
      </c>
      <c r="J81" s="44">
        <f>'Data Sheet'!K81</f>
        <v>0</v>
      </c>
      <c r="K81" s="44">
        <f>'Data Sheet'!L81</f>
        <v>0</v>
      </c>
      <c r="L81" s="44">
        <f>'Data Sheet'!M81</f>
        <v>0</v>
      </c>
      <c r="M81" s="5"/>
      <c r="N81" s="44">
        <f>'Data Sheet'!O81</f>
        <v>0</v>
      </c>
      <c r="O81" s="44">
        <f>'Data Sheet'!P81</f>
        <v>0</v>
      </c>
      <c r="P81" s="44">
        <f>'Data Sheet'!Q81</f>
        <v>0</v>
      </c>
      <c r="Q81" s="44">
        <f>'Data Sheet'!R81</f>
        <v>1</v>
      </c>
      <c r="R81" s="44">
        <f>'Data Sheet'!S81</f>
        <v>0</v>
      </c>
      <c r="S81" s="44">
        <f>'Data Sheet'!T81</f>
        <v>0</v>
      </c>
      <c r="T81" s="44">
        <f>'Data Sheet'!U81</f>
        <v>0</v>
      </c>
      <c r="U81" s="44">
        <f>'Data Sheet'!V81</f>
        <v>0</v>
      </c>
      <c r="V81" s="5"/>
      <c r="W81" s="16" t="str">
        <f t="shared" si="12"/>
        <v>IEP</v>
      </c>
      <c r="X81" s="10">
        <v>0</v>
      </c>
      <c r="Y81" s="11">
        <v>0</v>
      </c>
      <c r="Z81" s="11">
        <v>0</v>
      </c>
      <c r="AA81" s="11">
        <v>1</v>
      </c>
      <c r="AB81" s="11">
        <v>0</v>
      </c>
      <c r="AC81" s="11">
        <v>0</v>
      </c>
      <c r="AD81" s="11">
        <v>0</v>
      </c>
      <c r="AE81" s="12">
        <v>0</v>
      </c>
      <c r="AG81" s="45">
        <f t="shared" si="15"/>
        <v>1</v>
      </c>
      <c r="AH81" s="45">
        <f t="shared" si="13"/>
        <v>1</v>
      </c>
      <c r="AI81" s="45">
        <f t="shared" si="16"/>
        <v>1</v>
      </c>
      <c r="AJ81" s="45">
        <f t="shared" si="17"/>
        <v>1</v>
      </c>
      <c r="AK81" s="45">
        <f t="shared" si="14"/>
        <v>1</v>
      </c>
      <c r="AL81" s="1">
        <f t="shared" si="18"/>
        <v>1</v>
      </c>
      <c r="AM81" s="1">
        <f t="shared" si="19"/>
        <v>0</v>
      </c>
      <c r="AO81" s="45">
        <f t="shared" si="20"/>
        <v>1</v>
      </c>
      <c r="AP81" s="45">
        <f t="shared" si="21"/>
        <v>1</v>
      </c>
      <c r="AQ81" s="45">
        <f t="shared" si="22"/>
        <v>0</v>
      </c>
    </row>
    <row r="82" spans="1:43" ht="15" thickTop="1" thickBot="1" x14ac:dyDescent="0.5">
      <c r="A82" s="68" t="str">
        <f>IF(ISTEXT('Data Sheet'!B82),'Data Sheet'!B82&amp;" "&amp;'Data Sheet'!A82,"")</f>
        <v>ANGELIQUE DIAZ</v>
      </c>
      <c r="B82" s="70">
        <f>'Data Sheet'!C82</f>
        <v>80</v>
      </c>
      <c r="C82" s="38"/>
      <c r="D82" s="44">
        <f>'Data Sheet'!E82</f>
        <v>0</v>
      </c>
      <c r="E82" s="44">
        <f>'Data Sheet'!F82</f>
        <v>1</v>
      </c>
      <c r="F82" s="44">
        <f>'Data Sheet'!G82</f>
        <v>2</v>
      </c>
      <c r="G82" s="44">
        <f>'Data Sheet'!H82</f>
        <v>4</v>
      </c>
      <c r="H82" s="44">
        <f>'Data Sheet'!I82</f>
        <v>0</v>
      </c>
      <c r="I82" s="44">
        <f>'Data Sheet'!J82</f>
        <v>1</v>
      </c>
      <c r="J82" s="44">
        <f>'Data Sheet'!K82</f>
        <v>0</v>
      </c>
      <c r="K82" s="44">
        <f>'Data Sheet'!L82</f>
        <v>0</v>
      </c>
      <c r="L82" s="44">
        <f>'Data Sheet'!M82</f>
        <v>0</v>
      </c>
      <c r="M82" s="5"/>
      <c r="N82" s="44">
        <f>'Data Sheet'!O82</f>
        <v>0</v>
      </c>
      <c r="O82" s="44">
        <f>'Data Sheet'!P82</f>
        <v>0</v>
      </c>
      <c r="P82" s="44">
        <f>'Data Sheet'!Q82</f>
        <v>0</v>
      </c>
      <c r="Q82" s="44">
        <f>'Data Sheet'!R82</f>
        <v>1</v>
      </c>
      <c r="R82" s="44">
        <f>'Data Sheet'!S82</f>
        <v>0</v>
      </c>
      <c r="S82" s="44">
        <f>'Data Sheet'!T82</f>
        <v>0</v>
      </c>
      <c r="T82" s="44">
        <f>'Data Sheet'!U82</f>
        <v>0</v>
      </c>
      <c r="U82" s="44">
        <f>'Data Sheet'!V82</f>
        <v>0</v>
      </c>
      <c r="V82" s="5"/>
      <c r="W82" s="16" t="str">
        <f t="shared" si="12"/>
        <v>IEP</v>
      </c>
      <c r="X82" s="10">
        <v>0</v>
      </c>
      <c r="Y82" s="11">
        <v>0</v>
      </c>
      <c r="Z82" s="11">
        <v>0</v>
      </c>
      <c r="AA82" s="11">
        <v>1</v>
      </c>
      <c r="AB82" s="11">
        <v>0</v>
      </c>
      <c r="AC82" s="11">
        <v>0</v>
      </c>
      <c r="AD82" s="11">
        <v>0</v>
      </c>
      <c r="AE82" s="12">
        <v>0</v>
      </c>
      <c r="AG82" s="45">
        <f t="shared" si="15"/>
        <v>1</v>
      </c>
      <c r="AH82" s="45">
        <f t="shared" si="13"/>
        <v>1</v>
      </c>
      <c r="AI82" s="45">
        <f t="shared" si="16"/>
        <v>1</v>
      </c>
      <c r="AJ82" s="45">
        <f t="shared" si="17"/>
        <v>1</v>
      </c>
      <c r="AK82" s="45">
        <f t="shared" si="14"/>
        <v>1</v>
      </c>
      <c r="AL82" s="1">
        <f t="shared" si="18"/>
        <v>1</v>
      </c>
      <c r="AM82" s="1">
        <f t="shared" si="19"/>
        <v>0</v>
      </c>
      <c r="AO82" s="45">
        <f t="shared" si="20"/>
        <v>1</v>
      </c>
      <c r="AP82" s="45">
        <f t="shared" si="21"/>
        <v>1</v>
      </c>
      <c r="AQ82" s="45">
        <f t="shared" si="22"/>
        <v>0</v>
      </c>
    </row>
    <row r="83" spans="1:43" ht="15" thickTop="1" thickBot="1" x14ac:dyDescent="0.5">
      <c r="A83" s="68" t="str">
        <f>IF(ISTEXT('Data Sheet'!B83),'Data Sheet'!B83&amp;" "&amp;'Data Sheet'!A83,"")</f>
        <v>ADRIANA OTT</v>
      </c>
      <c r="B83" s="70">
        <f>'Data Sheet'!C83</f>
        <v>81</v>
      </c>
      <c r="C83" s="38"/>
      <c r="D83" s="44">
        <f>'Data Sheet'!E83</f>
        <v>0</v>
      </c>
      <c r="E83" s="44">
        <f>'Data Sheet'!F83</f>
        <v>0</v>
      </c>
      <c r="F83" s="44">
        <f>'Data Sheet'!G83</f>
        <v>2</v>
      </c>
      <c r="G83" s="44">
        <f>'Data Sheet'!H83</f>
        <v>4</v>
      </c>
      <c r="H83" s="44">
        <f>'Data Sheet'!I83</f>
        <v>0</v>
      </c>
      <c r="I83" s="44">
        <f>'Data Sheet'!J83</f>
        <v>0</v>
      </c>
      <c r="J83" s="44">
        <f>'Data Sheet'!K83</f>
        <v>0</v>
      </c>
      <c r="K83" s="44">
        <f>'Data Sheet'!L83</f>
        <v>0</v>
      </c>
      <c r="L83" s="44">
        <f>'Data Sheet'!M83</f>
        <v>0</v>
      </c>
      <c r="M83" s="5"/>
      <c r="N83" s="44">
        <f>'Data Sheet'!O83</f>
        <v>0</v>
      </c>
      <c r="O83" s="44">
        <f>'Data Sheet'!P83</f>
        <v>0</v>
      </c>
      <c r="P83" s="44">
        <f>'Data Sheet'!Q83</f>
        <v>0</v>
      </c>
      <c r="Q83" s="44">
        <f>'Data Sheet'!R83</f>
        <v>0</v>
      </c>
      <c r="R83" s="44">
        <f>'Data Sheet'!S83</f>
        <v>0</v>
      </c>
      <c r="S83" s="44">
        <f>'Data Sheet'!T83</f>
        <v>0</v>
      </c>
      <c r="T83" s="44">
        <f>'Data Sheet'!U83</f>
        <v>0</v>
      </c>
      <c r="U83" s="44">
        <f>'Data Sheet'!V83</f>
        <v>0</v>
      </c>
      <c r="V83" s="5"/>
      <c r="W83" s="16" t="str">
        <f t="shared" si="12"/>
        <v/>
      </c>
      <c r="X83" s="10">
        <v>0</v>
      </c>
      <c r="Y83" s="11">
        <v>0</v>
      </c>
      <c r="Z83" s="11">
        <v>1</v>
      </c>
      <c r="AA83" s="11">
        <v>0</v>
      </c>
      <c r="AB83" s="11">
        <v>0</v>
      </c>
      <c r="AC83" s="11">
        <v>0</v>
      </c>
      <c r="AD83" s="11">
        <v>0</v>
      </c>
      <c r="AE83" s="12">
        <v>0</v>
      </c>
      <c r="AG83" s="45">
        <f t="shared" si="15"/>
        <v>1</v>
      </c>
      <c r="AH83" s="45">
        <f t="shared" si="13"/>
        <v>1</v>
      </c>
      <c r="AI83" s="45">
        <f t="shared" si="16"/>
        <v>0</v>
      </c>
      <c r="AJ83" s="45">
        <f t="shared" si="17"/>
        <v>0</v>
      </c>
      <c r="AK83" s="45">
        <f t="shared" si="14"/>
        <v>0</v>
      </c>
      <c r="AL83" s="1">
        <f t="shared" si="18"/>
        <v>0</v>
      </c>
      <c r="AM83" s="1">
        <f t="shared" si="19"/>
        <v>0</v>
      </c>
      <c r="AO83" s="45">
        <f t="shared" si="20"/>
        <v>0</v>
      </c>
      <c r="AP83" s="45">
        <f t="shared" si="21"/>
        <v>0</v>
      </c>
      <c r="AQ83" s="45">
        <f t="shared" si="22"/>
        <v>0</v>
      </c>
    </row>
    <row r="84" spans="1:43" ht="15" thickTop="1" thickBot="1" x14ac:dyDescent="0.5">
      <c r="A84" s="68" t="str">
        <f>IF(ISTEXT('Data Sheet'!B84),'Data Sheet'!B84&amp;" "&amp;'Data Sheet'!A84,"")</f>
        <v>DULAURIE SURUJBALLY</v>
      </c>
      <c r="B84" s="70">
        <f>'Data Sheet'!C84</f>
        <v>82</v>
      </c>
      <c r="C84" s="38"/>
      <c r="D84" s="44">
        <f>'Data Sheet'!E84</f>
        <v>0</v>
      </c>
      <c r="E84" s="44">
        <f>'Data Sheet'!F84</f>
        <v>1</v>
      </c>
      <c r="F84" s="44">
        <f>'Data Sheet'!G84</f>
        <v>2</v>
      </c>
      <c r="G84" s="44">
        <f>'Data Sheet'!H84</f>
        <v>4</v>
      </c>
      <c r="H84" s="44">
        <f>'Data Sheet'!I84</f>
        <v>0</v>
      </c>
      <c r="I84" s="44">
        <f>'Data Sheet'!J84</f>
        <v>0</v>
      </c>
      <c r="J84" s="44">
        <f>'Data Sheet'!K84</f>
        <v>0</v>
      </c>
      <c r="K84" s="44">
        <f>'Data Sheet'!L84</f>
        <v>0</v>
      </c>
      <c r="L84" s="44">
        <f>'Data Sheet'!M84</f>
        <v>0</v>
      </c>
      <c r="M84" s="5"/>
      <c r="N84" s="44">
        <f>'Data Sheet'!O84</f>
        <v>0</v>
      </c>
      <c r="O84" s="44">
        <f>'Data Sheet'!P84</f>
        <v>0</v>
      </c>
      <c r="P84" s="44">
        <f>'Data Sheet'!Q84</f>
        <v>0</v>
      </c>
      <c r="Q84" s="44">
        <f>'Data Sheet'!R84</f>
        <v>0</v>
      </c>
      <c r="R84" s="44">
        <f>'Data Sheet'!S84</f>
        <v>0</v>
      </c>
      <c r="S84" s="44">
        <f>'Data Sheet'!T84</f>
        <v>0</v>
      </c>
      <c r="T84" s="44">
        <f>'Data Sheet'!U84</f>
        <v>0</v>
      </c>
      <c r="U84" s="44">
        <f>'Data Sheet'!V84</f>
        <v>0</v>
      </c>
      <c r="V84" s="5"/>
      <c r="W84" s="16" t="str">
        <f t="shared" si="12"/>
        <v/>
      </c>
      <c r="X84" s="10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1</v>
      </c>
      <c r="AE84" s="12">
        <v>0</v>
      </c>
      <c r="AG84" s="45">
        <f t="shared" si="15"/>
        <v>1</v>
      </c>
      <c r="AH84" s="45">
        <f t="shared" si="13"/>
        <v>1</v>
      </c>
      <c r="AI84" s="45">
        <f t="shared" si="16"/>
        <v>0</v>
      </c>
      <c r="AJ84" s="45">
        <f t="shared" si="17"/>
        <v>0</v>
      </c>
      <c r="AK84" s="45">
        <f t="shared" si="14"/>
        <v>0</v>
      </c>
      <c r="AL84" s="1">
        <f t="shared" si="18"/>
        <v>0</v>
      </c>
      <c r="AM84" s="1">
        <f t="shared" si="19"/>
        <v>0</v>
      </c>
      <c r="AO84" s="45">
        <f t="shared" si="20"/>
        <v>0</v>
      </c>
      <c r="AP84" s="45">
        <f t="shared" si="21"/>
        <v>0</v>
      </c>
      <c r="AQ84" s="45">
        <f t="shared" si="22"/>
        <v>0</v>
      </c>
    </row>
    <row r="85" spans="1:43" ht="15" thickTop="1" thickBot="1" x14ac:dyDescent="0.5">
      <c r="A85" s="68" t="str">
        <f>IF(ISTEXT('Data Sheet'!B85),'Data Sheet'!B85&amp;" "&amp;'Data Sheet'!A85,"")</f>
        <v>NIVEA SWEETING</v>
      </c>
      <c r="B85" s="70">
        <f>'Data Sheet'!C85</f>
        <v>83</v>
      </c>
      <c r="C85" s="38"/>
      <c r="D85" s="44">
        <f>'Data Sheet'!E85</f>
        <v>0</v>
      </c>
      <c r="E85" s="44">
        <f>'Data Sheet'!F85</f>
        <v>1</v>
      </c>
      <c r="F85" s="44">
        <f>'Data Sheet'!G85</f>
        <v>2</v>
      </c>
      <c r="G85" s="44">
        <f>'Data Sheet'!H85</f>
        <v>4</v>
      </c>
      <c r="H85" s="44">
        <f>'Data Sheet'!I85</f>
        <v>0</v>
      </c>
      <c r="I85" s="44">
        <f>'Data Sheet'!J85</f>
        <v>0</v>
      </c>
      <c r="J85" s="44">
        <f>'Data Sheet'!K85</f>
        <v>0</v>
      </c>
      <c r="K85" s="44">
        <f>'Data Sheet'!L85</f>
        <v>0</v>
      </c>
      <c r="L85" s="44">
        <f>'Data Sheet'!M85</f>
        <v>0</v>
      </c>
      <c r="M85" s="5"/>
      <c r="N85" s="44">
        <f>'Data Sheet'!O85</f>
        <v>0</v>
      </c>
      <c r="O85" s="44">
        <f>'Data Sheet'!P85</f>
        <v>0</v>
      </c>
      <c r="P85" s="44">
        <f>'Data Sheet'!Q85</f>
        <v>0</v>
      </c>
      <c r="Q85" s="44">
        <f>'Data Sheet'!R85</f>
        <v>0</v>
      </c>
      <c r="R85" s="44">
        <f>'Data Sheet'!S85</f>
        <v>0</v>
      </c>
      <c r="S85" s="44">
        <f>'Data Sheet'!T85</f>
        <v>0</v>
      </c>
      <c r="T85" s="44">
        <f>'Data Sheet'!U85</f>
        <v>0</v>
      </c>
      <c r="U85" s="44">
        <f>'Data Sheet'!V85</f>
        <v>0</v>
      </c>
      <c r="V85" s="5"/>
      <c r="W85" s="16" t="str">
        <f t="shared" si="12"/>
        <v/>
      </c>
      <c r="X85" s="10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1</v>
      </c>
      <c r="AD85" s="11">
        <v>0</v>
      </c>
      <c r="AE85" s="12">
        <v>0</v>
      </c>
      <c r="AG85" s="45">
        <f t="shared" si="15"/>
        <v>1</v>
      </c>
      <c r="AH85" s="45">
        <f t="shared" si="13"/>
        <v>1</v>
      </c>
      <c r="AI85" s="45">
        <f t="shared" si="16"/>
        <v>0</v>
      </c>
      <c r="AJ85" s="45">
        <f t="shared" si="17"/>
        <v>0</v>
      </c>
      <c r="AK85" s="45">
        <f t="shared" si="14"/>
        <v>0</v>
      </c>
      <c r="AL85" s="1">
        <f t="shared" si="18"/>
        <v>0</v>
      </c>
      <c r="AM85" s="1">
        <f t="shared" si="19"/>
        <v>0</v>
      </c>
      <c r="AO85" s="45">
        <f t="shared" si="20"/>
        <v>0</v>
      </c>
      <c r="AP85" s="45">
        <f t="shared" si="21"/>
        <v>0</v>
      </c>
      <c r="AQ85" s="45">
        <f t="shared" si="22"/>
        <v>0</v>
      </c>
    </row>
    <row r="86" spans="1:43" ht="15" thickTop="1" thickBot="1" x14ac:dyDescent="0.5">
      <c r="A86" s="68" t="str">
        <f>IF(ISTEXT('Data Sheet'!B86),'Data Sheet'!B86&amp;" "&amp;'Data Sheet'!A86,"")</f>
        <v>ASHLEY DERR</v>
      </c>
      <c r="B86" s="70">
        <f>'Data Sheet'!C86</f>
        <v>84</v>
      </c>
      <c r="C86" s="38"/>
      <c r="D86" s="44">
        <f>'Data Sheet'!E86</f>
        <v>0</v>
      </c>
      <c r="E86" s="44">
        <f>'Data Sheet'!F86</f>
        <v>0</v>
      </c>
      <c r="F86" s="44">
        <f>'Data Sheet'!G86</f>
        <v>2</v>
      </c>
      <c r="G86" s="44">
        <f>'Data Sheet'!H86</f>
        <v>4</v>
      </c>
      <c r="H86" s="44">
        <f>'Data Sheet'!I86</f>
        <v>0</v>
      </c>
      <c r="I86" s="44">
        <f>'Data Sheet'!J86</f>
        <v>0</v>
      </c>
      <c r="J86" s="44">
        <f>'Data Sheet'!K86</f>
        <v>0</v>
      </c>
      <c r="K86" s="44">
        <f>'Data Sheet'!L86</f>
        <v>0</v>
      </c>
      <c r="L86" s="44">
        <f>'Data Sheet'!M86</f>
        <v>0</v>
      </c>
      <c r="M86" s="5"/>
      <c r="N86" s="44">
        <f>'Data Sheet'!O86</f>
        <v>0</v>
      </c>
      <c r="O86" s="44">
        <f>'Data Sheet'!P86</f>
        <v>0</v>
      </c>
      <c r="P86" s="44">
        <f>'Data Sheet'!Q86</f>
        <v>0</v>
      </c>
      <c r="Q86" s="44">
        <f>'Data Sheet'!R86</f>
        <v>0</v>
      </c>
      <c r="R86" s="44">
        <f>'Data Sheet'!S86</f>
        <v>0</v>
      </c>
      <c r="S86" s="44">
        <f>'Data Sheet'!T86</f>
        <v>0</v>
      </c>
      <c r="T86" s="44">
        <f>'Data Sheet'!U86</f>
        <v>0</v>
      </c>
      <c r="U86" s="44">
        <f>'Data Sheet'!V86</f>
        <v>0</v>
      </c>
      <c r="V86" s="5"/>
      <c r="W86" s="16" t="str">
        <f t="shared" si="12"/>
        <v/>
      </c>
      <c r="X86" s="10">
        <v>0</v>
      </c>
      <c r="Y86" s="11">
        <v>0</v>
      </c>
      <c r="Z86" s="11">
        <v>1</v>
      </c>
      <c r="AA86" s="11">
        <v>0</v>
      </c>
      <c r="AB86" s="11">
        <v>0</v>
      </c>
      <c r="AC86" s="11">
        <v>0</v>
      </c>
      <c r="AD86" s="11">
        <v>0</v>
      </c>
      <c r="AE86" s="12">
        <v>0</v>
      </c>
      <c r="AG86" s="45">
        <f t="shared" si="15"/>
        <v>1</v>
      </c>
      <c r="AH86" s="45">
        <f t="shared" si="13"/>
        <v>1</v>
      </c>
      <c r="AI86" s="45">
        <f t="shared" si="16"/>
        <v>0</v>
      </c>
      <c r="AJ86" s="45">
        <f t="shared" si="17"/>
        <v>0</v>
      </c>
      <c r="AK86" s="45">
        <f t="shared" si="14"/>
        <v>0</v>
      </c>
      <c r="AL86" s="1">
        <f t="shared" si="18"/>
        <v>0</v>
      </c>
      <c r="AM86" s="1">
        <f t="shared" si="19"/>
        <v>0</v>
      </c>
      <c r="AO86" s="45">
        <f t="shared" si="20"/>
        <v>0</v>
      </c>
      <c r="AP86" s="45">
        <f t="shared" si="21"/>
        <v>0</v>
      </c>
      <c r="AQ86" s="45">
        <f t="shared" si="22"/>
        <v>0</v>
      </c>
    </row>
    <row r="87" spans="1:43" ht="15" thickTop="1" thickBot="1" x14ac:dyDescent="0.5">
      <c r="A87" s="68" t="str">
        <f>IF(ISTEXT('Data Sheet'!B87),'Data Sheet'!B87&amp;" "&amp;'Data Sheet'!A87,"")</f>
        <v>SUNNAE DUNN</v>
      </c>
      <c r="B87" s="70">
        <f>'Data Sheet'!C87</f>
        <v>85</v>
      </c>
      <c r="C87" s="38"/>
      <c r="D87" s="44">
        <f>'Data Sheet'!E87</f>
        <v>0</v>
      </c>
      <c r="E87" s="44">
        <f>'Data Sheet'!F87</f>
        <v>1</v>
      </c>
      <c r="F87" s="44">
        <f>'Data Sheet'!G87</f>
        <v>2</v>
      </c>
      <c r="G87" s="44">
        <f>'Data Sheet'!H87</f>
        <v>4</v>
      </c>
      <c r="H87" s="44">
        <f>'Data Sheet'!I87</f>
        <v>0</v>
      </c>
      <c r="I87" s="44">
        <f>'Data Sheet'!J87</f>
        <v>0</v>
      </c>
      <c r="J87" s="44">
        <f>'Data Sheet'!K87</f>
        <v>0</v>
      </c>
      <c r="K87" s="44">
        <f>'Data Sheet'!L87</f>
        <v>0</v>
      </c>
      <c r="L87" s="44">
        <f>'Data Sheet'!M87</f>
        <v>0</v>
      </c>
      <c r="M87" s="5"/>
      <c r="N87" s="44">
        <f>'Data Sheet'!O87</f>
        <v>0</v>
      </c>
      <c r="O87" s="44">
        <f>'Data Sheet'!P87</f>
        <v>0</v>
      </c>
      <c r="P87" s="44">
        <f>'Data Sheet'!Q87</f>
        <v>0</v>
      </c>
      <c r="Q87" s="44">
        <f>'Data Sheet'!R87</f>
        <v>0</v>
      </c>
      <c r="R87" s="44">
        <f>'Data Sheet'!S87</f>
        <v>0</v>
      </c>
      <c r="S87" s="44">
        <f>'Data Sheet'!T87</f>
        <v>0</v>
      </c>
      <c r="T87" s="44">
        <f>'Data Sheet'!U87</f>
        <v>0</v>
      </c>
      <c r="U87" s="44">
        <f>'Data Sheet'!V87</f>
        <v>0</v>
      </c>
      <c r="V87" s="5"/>
      <c r="W87" s="16" t="str">
        <f t="shared" si="12"/>
        <v/>
      </c>
      <c r="X87" s="10">
        <v>0</v>
      </c>
      <c r="Y87" s="11">
        <v>1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2">
        <v>0</v>
      </c>
      <c r="AG87" s="45">
        <f t="shared" si="15"/>
        <v>1</v>
      </c>
      <c r="AH87" s="45">
        <f t="shared" si="13"/>
        <v>1</v>
      </c>
      <c r="AI87" s="45">
        <f t="shared" si="16"/>
        <v>0</v>
      </c>
      <c r="AJ87" s="45">
        <f t="shared" si="17"/>
        <v>0</v>
      </c>
      <c r="AK87" s="45">
        <f t="shared" si="14"/>
        <v>0</v>
      </c>
      <c r="AL87" s="1">
        <f t="shared" si="18"/>
        <v>0</v>
      </c>
      <c r="AM87" s="1">
        <f t="shared" si="19"/>
        <v>0</v>
      </c>
      <c r="AO87" s="45">
        <f t="shared" si="20"/>
        <v>0</v>
      </c>
      <c r="AP87" s="45">
        <f t="shared" si="21"/>
        <v>0</v>
      </c>
      <c r="AQ87" s="45">
        <f t="shared" si="22"/>
        <v>0</v>
      </c>
    </row>
    <row r="88" spans="1:43" ht="15" thickTop="1" thickBot="1" x14ac:dyDescent="0.5">
      <c r="A88" s="68" t="str">
        <f>IF(ISTEXT('Data Sheet'!B88),'Data Sheet'!B88&amp;" "&amp;'Data Sheet'!A88,"")</f>
        <v>ARIANNA FOX</v>
      </c>
      <c r="B88" s="70">
        <f>'Data Sheet'!C88</f>
        <v>86</v>
      </c>
      <c r="C88" s="38"/>
      <c r="D88" s="44">
        <f>'Data Sheet'!E88</f>
        <v>0</v>
      </c>
      <c r="E88" s="44">
        <f>'Data Sheet'!F88</f>
        <v>1</v>
      </c>
      <c r="F88" s="44">
        <f>'Data Sheet'!G88</f>
        <v>2</v>
      </c>
      <c r="G88" s="44">
        <f>'Data Sheet'!H88</f>
        <v>4</v>
      </c>
      <c r="H88" s="44">
        <f>'Data Sheet'!I88</f>
        <v>0</v>
      </c>
      <c r="I88" s="44">
        <f>'Data Sheet'!J88</f>
        <v>0</v>
      </c>
      <c r="J88" s="44">
        <f>'Data Sheet'!K88</f>
        <v>0</v>
      </c>
      <c r="K88" s="44">
        <f>'Data Sheet'!L88</f>
        <v>0</v>
      </c>
      <c r="L88" s="44">
        <f>'Data Sheet'!M88</f>
        <v>0</v>
      </c>
      <c r="M88" s="5"/>
      <c r="N88" s="44">
        <f>'Data Sheet'!O88</f>
        <v>0</v>
      </c>
      <c r="O88" s="44">
        <f>'Data Sheet'!P88</f>
        <v>0</v>
      </c>
      <c r="P88" s="44">
        <f>'Data Sheet'!Q88</f>
        <v>0</v>
      </c>
      <c r="Q88" s="44">
        <f>'Data Sheet'!R88</f>
        <v>0</v>
      </c>
      <c r="R88" s="44">
        <f>'Data Sheet'!S88</f>
        <v>0</v>
      </c>
      <c r="S88" s="44">
        <f>'Data Sheet'!T88</f>
        <v>0</v>
      </c>
      <c r="T88" s="44">
        <f>'Data Sheet'!U88</f>
        <v>0</v>
      </c>
      <c r="U88" s="44">
        <f>'Data Sheet'!V88</f>
        <v>0</v>
      </c>
      <c r="V88" s="5"/>
      <c r="W88" s="16" t="str">
        <f t="shared" si="12"/>
        <v/>
      </c>
      <c r="X88" s="10">
        <v>1</v>
      </c>
      <c r="Y88" s="11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2">
        <v>0</v>
      </c>
      <c r="AG88" s="45">
        <f t="shared" si="15"/>
        <v>1</v>
      </c>
      <c r="AH88" s="45">
        <f t="shared" si="13"/>
        <v>1</v>
      </c>
      <c r="AI88" s="45">
        <f t="shared" si="16"/>
        <v>0</v>
      </c>
      <c r="AJ88" s="45">
        <f t="shared" si="17"/>
        <v>0</v>
      </c>
      <c r="AK88" s="45">
        <f t="shared" si="14"/>
        <v>0</v>
      </c>
      <c r="AL88" s="1">
        <f t="shared" si="18"/>
        <v>0</v>
      </c>
      <c r="AM88" s="1">
        <f t="shared" si="19"/>
        <v>0</v>
      </c>
      <c r="AO88" s="45">
        <f t="shared" si="20"/>
        <v>0</v>
      </c>
      <c r="AP88" s="45">
        <f t="shared" si="21"/>
        <v>0</v>
      </c>
      <c r="AQ88" s="45">
        <f t="shared" si="22"/>
        <v>0</v>
      </c>
    </row>
    <row r="89" spans="1:43" ht="15" thickTop="1" thickBot="1" x14ac:dyDescent="0.5">
      <c r="A89" s="68" t="str">
        <f>IF(ISTEXT('Data Sheet'!B89),'Data Sheet'!B89&amp;" "&amp;'Data Sheet'!A89,"")</f>
        <v>FANTASIA GALAGARZA</v>
      </c>
      <c r="B89" s="70">
        <f>'Data Sheet'!C89</f>
        <v>87</v>
      </c>
      <c r="C89" s="38"/>
      <c r="D89" s="44">
        <f>'Data Sheet'!E89</f>
        <v>0</v>
      </c>
      <c r="E89" s="44">
        <f>'Data Sheet'!F89</f>
        <v>1</v>
      </c>
      <c r="F89" s="44">
        <f>'Data Sheet'!G89</f>
        <v>2</v>
      </c>
      <c r="G89" s="44">
        <f>'Data Sheet'!H89</f>
        <v>4</v>
      </c>
      <c r="H89" s="44">
        <f>'Data Sheet'!I89</f>
        <v>0</v>
      </c>
      <c r="I89" s="44">
        <f>'Data Sheet'!J89</f>
        <v>1</v>
      </c>
      <c r="J89" s="44">
        <f>'Data Sheet'!K89</f>
        <v>0</v>
      </c>
      <c r="K89" s="44">
        <f>'Data Sheet'!L89</f>
        <v>0</v>
      </c>
      <c r="L89" s="44">
        <f>'Data Sheet'!M89</f>
        <v>0</v>
      </c>
      <c r="M89" s="5"/>
      <c r="N89" s="44">
        <f>'Data Sheet'!O89</f>
        <v>0</v>
      </c>
      <c r="O89" s="44">
        <f>'Data Sheet'!P89</f>
        <v>0</v>
      </c>
      <c r="P89" s="44">
        <f>'Data Sheet'!Q89</f>
        <v>1</v>
      </c>
      <c r="Q89" s="44">
        <f>'Data Sheet'!R89</f>
        <v>1</v>
      </c>
      <c r="R89" s="44">
        <f>'Data Sheet'!S89</f>
        <v>0</v>
      </c>
      <c r="S89" s="44">
        <f>'Data Sheet'!T89</f>
        <v>0</v>
      </c>
      <c r="T89" s="44">
        <f>'Data Sheet'!U89</f>
        <v>0</v>
      </c>
      <c r="U89" s="44">
        <f>'Data Sheet'!V89</f>
        <v>0</v>
      </c>
      <c r="V89" s="5"/>
      <c r="W89" s="16" t="str">
        <f t="shared" si="12"/>
        <v>IEP</v>
      </c>
      <c r="X89" s="10">
        <v>0</v>
      </c>
      <c r="Y89" s="11">
        <v>0</v>
      </c>
      <c r="Z89" s="11">
        <v>0</v>
      </c>
      <c r="AA89" s="11">
        <v>1</v>
      </c>
      <c r="AB89" s="11">
        <v>0</v>
      </c>
      <c r="AC89" s="11">
        <v>0</v>
      </c>
      <c r="AD89" s="11">
        <v>0</v>
      </c>
      <c r="AE89" s="12">
        <v>0</v>
      </c>
      <c r="AG89" s="45">
        <f t="shared" si="15"/>
        <v>1</v>
      </c>
      <c r="AH89" s="45">
        <f t="shared" si="13"/>
        <v>1</v>
      </c>
      <c r="AI89" s="45">
        <f t="shared" si="16"/>
        <v>1</v>
      </c>
      <c r="AJ89" s="45">
        <f t="shared" si="17"/>
        <v>1</v>
      </c>
      <c r="AK89" s="45">
        <f t="shared" si="14"/>
        <v>1</v>
      </c>
      <c r="AL89" s="1">
        <f t="shared" si="18"/>
        <v>1</v>
      </c>
      <c r="AM89" s="1">
        <f t="shared" si="19"/>
        <v>0</v>
      </c>
      <c r="AO89" s="45">
        <f t="shared" si="20"/>
        <v>1</v>
      </c>
      <c r="AP89" s="45">
        <f t="shared" si="21"/>
        <v>1</v>
      </c>
      <c r="AQ89" s="45">
        <f t="shared" si="22"/>
        <v>0</v>
      </c>
    </row>
    <row r="90" spans="1:43" ht="15" thickTop="1" thickBot="1" x14ac:dyDescent="0.5">
      <c r="A90" s="68" t="str">
        <f>IF(ISTEXT('Data Sheet'!B90),'Data Sheet'!B90&amp;" "&amp;'Data Sheet'!A90,"")</f>
        <v>JYHIID JENKINS</v>
      </c>
      <c r="B90" s="70">
        <f>'Data Sheet'!C90</f>
        <v>88</v>
      </c>
      <c r="C90" s="38"/>
      <c r="D90" s="44">
        <f>'Data Sheet'!E90</f>
        <v>1</v>
      </c>
      <c r="E90" s="44">
        <f>'Data Sheet'!F90</f>
        <v>1</v>
      </c>
      <c r="F90" s="44">
        <f>'Data Sheet'!G90</f>
        <v>2</v>
      </c>
      <c r="G90" s="44">
        <f>'Data Sheet'!H90</f>
        <v>2</v>
      </c>
      <c r="H90" s="44">
        <f>'Data Sheet'!I90</f>
        <v>1</v>
      </c>
      <c r="I90" s="44">
        <f>'Data Sheet'!J90</f>
        <v>0</v>
      </c>
      <c r="J90" s="44">
        <f>'Data Sheet'!K90</f>
        <v>0</v>
      </c>
      <c r="K90" s="44">
        <f>'Data Sheet'!L90</f>
        <v>0</v>
      </c>
      <c r="L90" s="44">
        <f>'Data Sheet'!M90</f>
        <v>0</v>
      </c>
      <c r="M90" s="5"/>
      <c r="N90" s="44">
        <f>'Data Sheet'!O90</f>
        <v>0</v>
      </c>
      <c r="O90" s="44">
        <f>'Data Sheet'!P90</f>
        <v>0</v>
      </c>
      <c r="P90" s="44">
        <f>'Data Sheet'!Q90</f>
        <v>0</v>
      </c>
      <c r="Q90" s="44">
        <f>'Data Sheet'!R90</f>
        <v>0</v>
      </c>
      <c r="R90" s="44">
        <f>'Data Sheet'!S90</f>
        <v>0</v>
      </c>
      <c r="S90" s="44">
        <f>'Data Sheet'!T90</f>
        <v>0</v>
      </c>
      <c r="T90" s="44">
        <f>'Data Sheet'!U90</f>
        <v>0</v>
      </c>
      <c r="U90" s="44">
        <f>'Data Sheet'!V90</f>
        <v>0</v>
      </c>
      <c r="V90" s="5"/>
      <c r="W90" s="16" t="str">
        <f t="shared" si="12"/>
        <v/>
      </c>
      <c r="X90" s="10">
        <v>0</v>
      </c>
      <c r="Y90" s="11">
        <v>0</v>
      </c>
      <c r="Z90" s="11">
        <v>1</v>
      </c>
      <c r="AA90" s="11">
        <v>0</v>
      </c>
      <c r="AB90" s="11">
        <v>0</v>
      </c>
      <c r="AC90" s="11">
        <v>0</v>
      </c>
      <c r="AD90" s="11">
        <v>0</v>
      </c>
      <c r="AE90" s="12">
        <v>0</v>
      </c>
      <c r="AG90" s="45">
        <f t="shared" si="15"/>
        <v>1</v>
      </c>
      <c r="AH90" s="45">
        <f t="shared" si="13"/>
        <v>1</v>
      </c>
      <c r="AI90" s="45">
        <f t="shared" si="16"/>
        <v>0</v>
      </c>
      <c r="AJ90" s="45">
        <f t="shared" si="17"/>
        <v>0</v>
      </c>
      <c r="AK90" s="45">
        <f t="shared" si="14"/>
        <v>0</v>
      </c>
      <c r="AL90" s="1">
        <f t="shared" si="18"/>
        <v>0</v>
      </c>
      <c r="AM90" s="1">
        <f t="shared" si="19"/>
        <v>0</v>
      </c>
      <c r="AO90" s="45">
        <f t="shared" si="20"/>
        <v>0</v>
      </c>
      <c r="AP90" s="45">
        <f t="shared" si="21"/>
        <v>0</v>
      </c>
      <c r="AQ90" s="45">
        <f t="shared" si="22"/>
        <v>0</v>
      </c>
    </row>
    <row r="91" spans="1:43" ht="15" thickTop="1" thickBot="1" x14ac:dyDescent="0.5">
      <c r="A91" s="68" t="str">
        <f>IF(ISTEXT('Data Sheet'!B91),'Data Sheet'!B91&amp;" "&amp;'Data Sheet'!A91,"")</f>
        <v>JULIANNA LYNCH</v>
      </c>
      <c r="B91" s="70">
        <f>'Data Sheet'!C91</f>
        <v>89</v>
      </c>
      <c r="C91" s="38"/>
      <c r="D91" s="44">
        <f>'Data Sheet'!E91</f>
        <v>0</v>
      </c>
      <c r="E91" s="44">
        <f>'Data Sheet'!F91</f>
        <v>1</v>
      </c>
      <c r="F91" s="44">
        <f>'Data Sheet'!G91</f>
        <v>2</v>
      </c>
      <c r="G91" s="44">
        <f>'Data Sheet'!H91</f>
        <v>4</v>
      </c>
      <c r="H91" s="44">
        <f>'Data Sheet'!I91</f>
        <v>0</v>
      </c>
      <c r="I91" s="44">
        <f>'Data Sheet'!J91</f>
        <v>0</v>
      </c>
      <c r="J91" s="44">
        <f>'Data Sheet'!K91</f>
        <v>0</v>
      </c>
      <c r="K91" s="44">
        <f>'Data Sheet'!L91</f>
        <v>0</v>
      </c>
      <c r="L91" s="44">
        <f>'Data Sheet'!M91</f>
        <v>0</v>
      </c>
      <c r="M91" s="5"/>
      <c r="N91" s="44">
        <f>'Data Sheet'!O91</f>
        <v>0</v>
      </c>
      <c r="O91" s="44">
        <f>'Data Sheet'!P91</f>
        <v>0</v>
      </c>
      <c r="P91" s="44">
        <f>'Data Sheet'!Q91</f>
        <v>0</v>
      </c>
      <c r="Q91" s="44">
        <f>'Data Sheet'!R91</f>
        <v>0</v>
      </c>
      <c r="R91" s="44">
        <f>'Data Sheet'!S91</f>
        <v>0</v>
      </c>
      <c r="S91" s="44">
        <f>'Data Sheet'!T91</f>
        <v>0</v>
      </c>
      <c r="T91" s="44">
        <f>'Data Sheet'!U91</f>
        <v>0</v>
      </c>
      <c r="U91" s="44">
        <f>'Data Sheet'!V91</f>
        <v>0</v>
      </c>
      <c r="V91" s="5"/>
      <c r="W91" s="16" t="str">
        <f t="shared" si="12"/>
        <v/>
      </c>
      <c r="X91" s="10">
        <v>0</v>
      </c>
      <c r="Y91" s="11">
        <v>0</v>
      </c>
      <c r="Z91" s="11">
        <v>0</v>
      </c>
      <c r="AA91" s="11">
        <v>0</v>
      </c>
      <c r="AB91" s="11">
        <v>1</v>
      </c>
      <c r="AC91" s="11">
        <v>0</v>
      </c>
      <c r="AD91" s="11">
        <v>0</v>
      </c>
      <c r="AE91" s="12">
        <v>0</v>
      </c>
      <c r="AG91" s="45">
        <f t="shared" si="15"/>
        <v>1</v>
      </c>
      <c r="AH91" s="45">
        <f t="shared" si="13"/>
        <v>1</v>
      </c>
      <c r="AI91" s="45">
        <f t="shared" si="16"/>
        <v>0</v>
      </c>
      <c r="AJ91" s="45">
        <f t="shared" si="17"/>
        <v>0</v>
      </c>
      <c r="AK91" s="45">
        <f t="shared" si="14"/>
        <v>0</v>
      </c>
      <c r="AL91" s="1">
        <f t="shared" si="18"/>
        <v>0</v>
      </c>
      <c r="AM91" s="1">
        <f t="shared" si="19"/>
        <v>0</v>
      </c>
      <c r="AO91" s="45">
        <f t="shared" si="20"/>
        <v>0</v>
      </c>
      <c r="AP91" s="45">
        <f t="shared" si="21"/>
        <v>0</v>
      </c>
      <c r="AQ91" s="45">
        <f t="shared" si="22"/>
        <v>0</v>
      </c>
    </row>
    <row r="92" spans="1:43" ht="15" thickTop="1" thickBot="1" x14ac:dyDescent="0.5">
      <c r="A92" s="68" t="str">
        <f>IF(ISTEXT('Data Sheet'!B92),'Data Sheet'!B92&amp;" "&amp;'Data Sheet'!A92,"")</f>
        <v>NI'YAE RAY</v>
      </c>
      <c r="B92" s="70">
        <f>'Data Sheet'!C92</f>
        <v>90</v>
      </c>
      <c r="C92" s="38"/>
      <c r="D92" s="44">
        <f>'Data Sheet'!E92</f>
        <v>0</v>
      </c>
      <c r="E92" s="44">
        <f>'Data Sheet'!F92</f>
        <v>1</v>
      </c>
      <c r="F92" s="44">
        <f>'Data Sheet'!G92</f>
        <v>2</v>
      </c>
      <c r="G92" s="44">
        <f>'Data Sheet'!H92</f>
        <v>4</v>
      </c>
      <c r="H92" s="44">
        <f>'Data Sheet'!I92</f>
        <v>0</v>
      </c>
      <c r="I92" s="44">
        <f>'Data Sheet'!J92</f>
        <v>0</v>
      </c>
      <c r="J92" s="44">
        <f>'Data Sheet'!K92</f>
        <v>0</v>
      </c>
      <c r="K92" s="44">
        <f>'Data Sheet'!L92</f>
        <v>0</v>
      </c>
      <c r="L92" s="44">
        <f>'Data Sheet'!M92</f>
        <v>0</v>
      </c>
      <c r="M92" s="5"/>
      <c r="N92" s="44">
        <f>'Data Sheet'!O92</f>
        <v>0</v>
      </c>
      <c r="O92" s="44">
        <f>'Data Sheet'!P92</f>
        <v>0</v>
      </c>
      <c r="P92" s="44">
        <f>'Data Sheet'!Q92</f>
        <v>0</v>
      </c>
      <c r="Q92" s="44">
        <f>'Data Sheet'!R92</f>
        <v>0</v>
      </c>
      <c r="R92" s="44">
        <f>'Data Sheet'!S92</f>
        <v>0</v>
      </c>
      <c r="S92" s="44">
        <f>'Data Sheet'!T92</f>
        <v>0</v>
      </c>
      <c r="T92" s="44">
        <f>'Data Sheet'!U92</f>
        <v>0</v>
      </c>
      <c r="U92" s="44">
        <f>'Data Sheet'!V92</f>
        <v>0</v>
      </c>
      <c r="V92" s="5"/>
      <c r="W92" s="16" t="str">
        <f t="shared" si="12"/>
        <v/>
      </c>
      <c r="X92" s="10">
        <v>0</v>
      </c>
      <c r="Y92" s="11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2">
        <v>1</v>
      </c>
      <c r="AG92" s="45">
        <f t="shared" si="15"/>
        <v>1</v>
      </c>
      <c r="AH92" s="45">
        <f t="shared" si="13"/>
        <v>1</v>
      </c>
      <c r="AI92" s="45">
        <f t="shared" si="16"/>
        <v>0</v>
      </c>
      <c r="AJ92" s="45">
        <f t="shared" si="17"/>
        <v>0</v>
      </c>
      <c r="AK92" s="45">
        <f t="shared" si="14"/>
        <v>0</v>
      </c>
      <c r="AL92" s="1">
        <f t="shared" si="18"/>
        <v>0</v>
      </c>
      <c r="AM92" s="1">
        <f t="shared" si="19"/>
        <v>0</v>
      </c>
      <c r="AO92" s="45">
        <f t="shared" si="20"/>
        <v>0</v>
      </c>
      <c r="AP92" s="45">
        <f t="shared" si="21"/>
        <v>0</v>
      </c>
      <c r="AQ92" s="45">
        <f t="shared" si="22"/>
        <v>0</v>
      </c>
    </row>
    <row r="93" spans="1:43" ht="15" thickTop="1" thickBot="1" x14ac:dyDescent="0.5">
      <c r="A93" s="68" t="str">
        <f>IF(ISTEXT('Data Sheet'!B93),'Data Sheet'!B93&amp;" "&amp;'Data Sheet'!A93,"")</f>
        <v>SAHRIYA FRAZIER</v>
      </c>
      <c r="B93" s="70">
        <f>'Data Sheet'!C93</f>
        <v>91</v>
      </c>
      <c r="C93" s="38"/>
      <c r="D93" s="44">
        <f>'Data Sheet'!E93</f>
        <v>0</v>
      </c>
      <c r="E93" s="44">
        <f>'Data Sheet'!F93</f>
        <v>1</v>
      </c>
      <c r="F93" s="44">
        <f>'Data Sheet'!G93</f>
        <v>2</v>
      </c>
      <c r="G93" s="44">
        <f>'Data Sheet'!H93</f>
        <v>4</v>
      </c>
      <c r="H93" s="44">
        <f>'Data Sheet'!I93</f>
        <v>0</v>
      </c>
      <c r="I93" s="44">
        <f>'Data Sheet'!J93</f>
        <v>0</v>
      </c>
      <c r="J93" s="44">
        <f>'Data Sheet'!K93</f>
        <v>0</v>
      </c>
      <c r="K93" s="44">
        <f>'Data Sheet'!L93</f>
        <v>0</v>
      </c>
      <c r="L93" s="44">
        <f>'Data Sheet'!M93</f>
        <v>0</v>
      </c>
      <c r="M93" s="5"/>
      <c r="N93" s="44">
        <f>'Data Sheet'!O93</f>
        <v>0</v>
      </c>
      <c r="O93" s="44">
        <f>'Data Sheet'!P93</f>
        <v>0</v>
      </c>
      <c r="P93" s="44">
        <f>'Data Sheet'!Q93</f>
        <v>0</v>
      </c>
      <c r="Q93" s="44">
        <f>'Data Sheet'!R93</f>
        <v>0</v>
      </c>
      <c r="R93" s="44">
        <f>'Data Sheet'!S93</f>
        <v>0</v>
      </c>
      <c r="S93" s="44">
        <f>'Data Sheet'!T93</f>
        <v>0</v>
      </c>
      <c r="T93" s="44">
        <f>'Data Sheet'!U93</f>
        <v>0</v>
      </c>
      <c r="U93" s="44">
        <f>'Data Sheet'!V93</f>
        <v>0</v>
      </c>
      <c r="V93" s="5"/>
      <c r="W93" s="16" t="str">
        <f t="shared" si="12"/>
        <v/>
      </c>
      <c r="X93" s="10">
        <v>0</v>
      </c>
      <c r="Y93" s="11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2">
        <v>1</v>
      </c>
      <c r="AG93" s="45">
        <f t="shared" si="15"/>
        <v>1</v>
      </c>
      <c r="AH93" s="45">
        <f t="shared" si="13"/>
        <v>1</v>
      </c>
      <c r="AI93" s="45">
        <f t="shared" si="16"/>
        <v>0</v>
      </c>
      <c r="AJ93" s="45">
        <f t="shared" si="17"/>
        <v>0</v>
      </c>
      <c r="AK93" s="45">
        <f t="shared" si="14"/>
        <v>0</v>
      </c>
      <c r="AL93" s="1">
        <f t="shared" si="18"/>
        <v>0</v>
      </c>
      <c r="AM93" s="1">
        <f t="shared" si="19"/>
        <v>0</v>
      </c>
      <c r="AO93" s="45">
        <f t="shared" si="20"/>
        <v>0</v>
      </c>
      <c r="AP93" s="45">
        <f t="shared" si="21"/>
        <v>0</v>
      </c>
      <c r="AQ93" s="45">
        <f t="shared" si="22"/>
        <v>0</v>
      </c>
    </row>
    <row r="94" spans="1:43" ht="15" thickTop="1" thickBot="1" x14ac:dyDescent="0.5">
      <c r="A94" s="68" t="str">
        <f>IF(ISTEXT('Data Sheet'!B94),'Data Sheet'!B94&amp;" "&amp;'Data Sheet'!A94,"")</f>
        <v>PARIS FRYE</v>
      </c>
      <c r="B94" s="70">
        <f>'Data Sheet'!C94</f>
        <v>92</v>
      </c>
      <c r="C94" s="38"/>
      <c r="D94" s="44">
        <f>'Data Sheet'!E94</f>
        <v>0</v>
      </c>
      <c r="E94" s="44">
        <f>'Data Sheet'!F94</f>
        <v>1</v>
      </c>
      <c r="F94" s="44">
        <f>'Data Sheet'!G94</f>
        <v>2</v>
      </c>
      <c r="G94" s="44">
        <f>'Data Sheet'!H94</f>
        <v>4</v>
      </c>
      <c r="H94" s="44">
        <f>'Data Sheet'!I94</f>
        <v>0</v>
      </c>
      <c r="I94" s="44">
        <f>'Data Sheet'!J94</f>
        <v>0</v>
      </c>
      <c r="J94" s="44">
        <f>'Data Sheet'!K94</f>
        <v>0</v>
      </c>
      <c r="K94" s="44">
        <f>'Data Sheet'!L94</f>
        <v>0</v>
      </c>
      <c r="L94" s="44">
        <f>'Data Sheet'!M94</f>
        <v>0</v>
      </c>
      <c r="M94" s="5"/>
      <c r="N94" s="44">
        <f>'Data Sheet'!O94</f>
        <v>0</v>
      </c>
      <c r="O94" s="44">
        <f>'Data Sheet'!P94</f>
        <v>0</v>
      </c>
      <c r="P94" s="44">
        <f>'Data Sheet'!Q94</f>
        <v>0</v>
      </c>
      <c r="Q94" s="44">
        <f>'Data Sheet'!R94</f>
        <v>0</v>
      </c>
      <c r="R94" s="44">
        <f>'Data Sheet'!S94</f>
        <v>0</v>
      </c>
      <c r="S94" s="44">
        <f>'Data Sheet'!T94</f>
        <v>0</v>
      </c>
      <c r="T94" s="44">
        <f>'Data Sheet'!U94</f>
        <v>0</v>
      </c>
      <c r="U94" s="44">
        <f>'Data Sheet'!V94</f>
        <v>0</v>
      </c>
      <c r="V94" s="5"/>
      <c r="W94" s="16" t="str">
        <f t="shared" si="12"/>
        <v/>
      </c>
      <c r="X94" s="10">
        <v>1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2">
        <v>0</v>
      </c>
      <c r="AG94" s="45">
        <f t="shared" si="15"/>
        <v>1</v>
      </c>
      <c r="AH94" s="45">
        <f t="shared" si="13"/>
        <v>1</v>
      </c>
      <c r="AI94" s="45">
        <f t="shared" si="16"/>
        <v>0</v>
      </c>
      <c r="AJ94" s="45">
        <f t="shared" si="17"/>
        <v>0</v>
      </c>
      <c r="AK94" s="45">
        <f t="shared" si="14"/>
        <v>0</v>
      </c>
      <c r="AL94" s="1">
        <f t="shared" si="18"/>
        <v>0</v>
      </c>
      <c r="AM94" s="1">
        <f t="shared" si="19"/>
        <v>0</v>
      </c>
      <c r="AO94" s="45">
        <f t="shared" si="20"/>
        <v>0</v>
      </c>
      <c r="AP94" s="45">
        <f t="shared" si="21"/>
        <v>0</v>
      </c>
      <c r="AQ94" s="45">
        <f t="shared" si="22"/>
        <v>0</v>
      </c>
    </row>
    <row r="95" spans="1:43" ht="15" thickTop="1" thickBot="1" x14ac:dyDescent="0.5">
      <c r="A95" s="68" t="str">
        <f>IF(ISTEXT('Data Sheet'!B95),'Data Sheet'!B95&amp;" "&amp;'Data Sheet'!A95,"")</f>
        <v>ISAIAH OLIVER</v>
      </c>
      <c r="B95" s="70">
        <f>'Data Sheet'!C95</f>
        <v>93</v>
      </c>
      <c r="C95" s="38"/>
      <c r="D95" s="44">
        <f>'Data Sheet'!E95</f>
        <v>0</v>
      </c>
      <c r="E95" s="44">
        <f>'Data Sheet'!F95</f>
        <v>1</v>
      </c>
      <c r="F95" s="44">
        <f>'Data Sheet'!G95</f>
        <v>2</v>
      </c>
      <c r="G95" s="44">
        <f>'Data Sheet'!H95</f>
        <v>4</v>
      </c>
      <c r="H95" s="44">
        <f>'Data Sheet'!I95</f>
        <v>0</v>
      </c>
      <c r="I95" s="44">
        <f>'Data Sheet'!J95</f>
        <v>0</v>
      </c>
      <c r="J95" s="44">
        <f>'Data Sheet'!K95</f>
        <v>0</v>
      </c>
      <c r="K95" s="44">
        <f>'Data Sheet'!L95</f>
        <v>0</v>
      </c>
      <c r="L95" s="44">
        <f>'Data Sheet'!M95</f>
        <v>0</v>
      </c>
      <c r="M95" s="5"/>
      <c r="N95" s="44">
        <f>'Data Sheet'!O95</f>
        <v>0</v>
      </c>
      <c r="O95" s="44">
        <f>'Data Sheet'!P95</f>
        <v>0</v>
      </c>
      <c r="P95" s="44">
        <f>'Data Sheet'!Q95</f>
        <v>0</v>
      </c>
      <c r="Q95" s="44">
        <f>'Data Sheet'!R95</f>
        <v>0</v>
      </c>
      <c r="R95" s="44">
        <f>'Data Sheet'!S95</f>
        <v>0</v>
      </c>
      <c r="S95" s="44">
        <f>'Data Sheet'!T95</f>
        <v>0</v>
      </c>
      <c r="T95" s="44">
        <f>'Data Sheet'!U95</f>
        <v>0</v>
      </c>
      <c r="U95" s="44">
        <f>'Data Sheet'!V95</f>
        <v>0</v>
      </c>
      <c r="V95" s="5"/>
      <c r="W95" s="16" t="str">
        <f t="shared" si="12"/>
        <v/>
      </c>
      <c r="X95" s="10">
        <v>0</v>
      </c>
      <c r="Y95" s="11">
        <v>0</v>
      </c>
      <c r="Z95" s="11">
        <v>1</v>
      </c>
      <c r="AA95" s="11">
        <v>0</v>
      </c>
      <c r="AB95" s="11">
        <v>0</v>
      </c>
      <c r="AC95" s="11">
        <v>0</v>
      </c>
      <c r="AD95" s="11">
        <v>0</v>
      </c>
      <c r="AE95" s="12">
        <v>0</v>
      </c>
      <c r="AG95" s="45">
        <f t="shared" si="15"/>
        <v>1</v>
      </c>
      <c r="AH95" s="45">
        <f t="shared" si="13"/>
        <v>1</v>
      </c>
      <c r="AI95" s="45">
        <f t="shared" si="16"/>
        <v>0</v>
      </c>
      <c r="AJ95" s="45">
        <f t="shared" si="17"/>
        <v>0</v>
      </c>
      <c r="AK95" s="45">
        <f t="shared" si="14"/>
        <v>0</v>
      </c>
      <c r="AL95" s="1">
        <f t="shared" si="18"/>
        <v>0</v>
      </c>
      <c r="AM95" s="1">
        <f t="shared" si="19"/>
        <v>0</v>
      </c>
      <c r="AO95" s="45">
        <f t="shared" si="20"/>
        <v>0</v>
      </c>
      <c r="AP95" s="45">
        <f t="shared" si="21"/>
        <v>0</v>
      </c>
      <c r="AQ95" s="45">
        <f t="shared" si="22"/>
        <v>0</v>
      </c>
    </row>
    <row r="96" spans="1:43" ht="15" thickTop="1" thickBot="1" x14ac:dyDescent="0.5">
      <c r="A96" s="68" t="str">
        <f>IF(ISTEXT('Data Sheet'!B96),'Data Sheet'!B96&amp;" "&amp;'Data Sheet'!A96,"")</f>
        <v>RAKEEM SESSOMS-KELLAM</v>
      </c>
      <c r="B96" s="70">
        <f>'Data Sheet'!C96</f>
        <v>94</v>
      </c>
      <c r="C96" s="38"/>
      <c r="D96" s="44">
        <f>'Data Sheet'!E96</f>
        <v>1</v>
      </c>
      <c r="E96" s="44">
        <f>'Data Sheet'!F96</f>
        <v>1</v>
      </c>
      <c r="F96" s="44">
        <f>'Data Sheet'!G96</f>
        <v>2</v>
      </c>
      <c r="G96" s="44">
        <f>'Data Sheet'!H96</f>
        <v>3</v>
      </c>
      <c r="H96" s="44">
        <f>'Data Sheet'!I96</f>
        <v>0</v>
      </c>
      <c r="I96" s="44">
        <f>'Data Sheet'!J96</f>
        <v>0</v>
      </c>
      <c r="J96" s="44">
        <f>'Data Sheet'!K96</f>
        <v>0</v>
      </c>
      <c r="K96" s="44">
        <f>'Data Sheet'!L96</f>
        <v>0</v>
      </c>
      <c r="L96" s="44">
        <f>'Data Sheet'!M96</f>
        <v>0</v>
      </c>
      <c r="M96" s="5"/>
      <c r="N96" s="44">
        <f>'Data Sheet'!O96</f>
        <v>0</v>
      </c>
      <c r="O96" s="44">
        <f>'Data Sheet'!P96</f>
        <v>0</v>
      </c>
      <c r="P96" s="44">
        <f>'Data Sheet'!Q96</f>
        <v>0</v>
      </c>
      <c r="Q96" s="44">
        <f>'Data Sheet'!R96</f>
        <v>0</v>
      </c>
      <c r="R96" s="44">
        <f>'Data Sheet'!S96</f>
        <v>0</v>
      </c>
      <c r="S96" s="44">
        <f>'Data Sheet'!T96</f>
        <v>0</v>
      </c>
      <c r="T96" s="44">
        <f>'Data Sheet'!U96</f>
        <v>0</v>
      </c>
      <c r="U96" s="44">
        <f>'Data Sheet'!V96</f>
        <v>0</v>
      </c>
      <c r="V96" s="5"/>
      <c r="W96" s="16" t="str">
        <f t="shared" si="12"/>
        <v/>
      </c>
      <c r="X96" s="10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2">
        <v>1</v>
      </c>
      <c r="AG96" s="45">
        <f t="shared" si="15"/>
        <v>1</v>
      </c>
      <c r="AH96" s="45">
        <f t="shared" si="13"/>
        <v>1</v>
      </c>
      <c r="AI96" s="45">
        <f t="shared" si="16"/>
        <v>0</v>
      </c>
      <c r="AJ96" s="45">
        <f t="shared" si="17"/>
        <v>0</v>
      </c>
      <c r="AK96" s="45">
        <f t="shared" si="14"/>
        <v>0</v>
      </c>
      <c r="AL96" s="1">
        <f t="shared" si="18"/>
        <v>0</v>
      </c>
      <c r="AM96" s="1">
        <f t="shared" si="19"/>
        <v>0</v>
      </c>
      <c r="AO96" s="45">
        <f t="shared" si="20"/>
        <v>0</v>
      </c>
      <c r="AP96" s="45">
        <f t="shared" si="21"/>
        <v>0</v>
      </c>
      <c r="AQ96" s="45">
        <f t="shared" si="22"/>
        <v>0</v>
      </c>
    </row>
    <row r="97" spans="1:43" ht="15" thickTop="1" thickBot="1" x14ac:dyDescent="0.5">
      <c r="A97" s="68" t="str">
        <f>IF(ISTEXT('Data Sheet'!B97),'Data Sheet'!B97&amp;" "&amp;'Data Sheet'!A97,"")</f>
        <v>MIA DAVIS</v>
      </c>
      <c r="B97" s="70">
        <f>'Data Sheet'!C97</f>
        <v>95</v>
      </c>
      <c r="C97" s="38"/>
      <c r="D97" s="44">
        <f>'Data Sheet'!E97</f>
        <v>0</v>
      </c>
      <c r="E97" s="44">
        <f>'Data Sheet'!F97</f>
        <v>1</v>
      </c>
      <c r="F97" s="44">
        <f>'Data Sheet'!G97</f>
        <v>2</v>
      </c>
      <c r="G97" s="44">
        <f>'Data Sheet'!H97</f>
        <v>2</v>
      </c>
      <c r="H97" s="44">
        <f>'Data Sheet'!I97</f>
        <v>0</v>
      </c>
      <c r="I97" s="44">
        <f>'Data Sheet'!J97</f>
        <v>0</v>
      </c>
      <c r="J97" s="44">
        <f>'Data Sheet'!K97</f>
        <v>0</v>
      </c>
      <c r="K97" s="44">
        <f>'Data Sheet'!L97</f>
        <v>0</v>
      </c>
      <c r="L97" s="44">
        <f>'Data Sheet'!M97</f>
        <v>0</v>
      </c>
      <c r="M97" s="5"/>
      <c r="N97" s="44">
        <f>'Data Sheet'!O97</f>
        <v>0</v>
      </c>
      <c r="O97" s="44">
        <f>'Data Sheet'!P97</f>
        <v>0</v>
      </c>
      <c r="P97" s="44">
        <f>'Data Sheet'!Q97</f>
        <v>0</v>
      </c>
      <c r="Q97" s="44">
        <f>'Data Sheet'!R97</f>
        <v>0</v>
      </c>
      <c r="R97" s="44">
        <f>'Data Sheet'!S97</f>
        <v>0</v>
      </c>
      <c r="S97" s="44">
        <f>'Data Sheet'!T97</f>
        <v>0</v>
      </c>
      <c r="T97" s="44">
        <f>'Data Sheet'!U97</f>
        <v>0</v>
      </c>
      <c r="U97" s="44">
        <f>'Data Sheet'!V97</f>
        <v>0</v>
      </c>
      <c r="V97" s="5"/>
      <c r="W97" s="16" t="str">
        <f t="shared" si="12"/>
        <v/>
      </c>
      <c r="X97" s="10">
        <v>0</v>
      </c>
      <c r="Y97" s="11">
        <v>0</v>
      </c>
      <c r="Z97" s="11">
        <v>0</v>
      </c>
      <c r="AA97" s="11">
        <v>0</v>
      </c>
      <c r="AB97" s="11">
        <v>1</v>
      </c>
      <c r="AC97" s="11">
        <v>0</v>
      </c>
      <c r="AD97" s="11">
        <v>0</v>
      </c>
      <c r="AE97" s="12">
        <v>0</v>
      </c>
      <c r="AG97" s="45">
        <f t="shared" si="15"/>
        <v>1</v>
      </c>
      <c r="AH97" s="45">
        <f t="shared" si="13"/>
        <v>1</v>
      </c>
      <c r="AI97" s="45">
        <f t="shared" si="16"/>
        <v>0</v>
      </c>
      <c r="AJ97" s="45">
        <f t="shared" si="17"/>
        <v>0</v>
      </c>
      <c r="AK97" s="45">
        <f t="shared" si="14"/>
        <v>0</v>
      </c>
      <c r="AL97" s="1">
        <f t="shared" si="18"/>
        <v>0</v>
      </c>
      <c r="AM97" s="1">
        <f t="shared" si="19"/>
        <v>0</v>
      </c>
      <c r="AO97" s="45">
        <f t="shared" si="20"/>
        <v>0</v>
      </c>
      <c r="AP97" s="45">
        <f t="shared" si="21"/>
        <v>0</v>
      </c>
      <c r="AQ97" s="45">
        <f t="shared" si="22"/>
        <v>0</v>
      </c>
    </row>
    <row r="98" spans="1:43" ht="15" thickTop="1" thickBot="1" x14ac:dyDescent="0.5">
      <c r="A98" s="68" t="str">
        <f>IF(ISTEXT('Data Sheet'!B98),'Data Sheet'!B98&amp;" "&amp;'Data Sheet'!A98,"")</f>
        <v>CAIDEN DELKER</v>
      </c>
      <c r="B98" s="70">
        <f>'Data Sheet'!C98</f>
        <v>96</v>
      </c>
      <c r="C98" s="38"/>
      <c r="D98" s="44">
        <f>'Data Sheet'!E98</f>
        <v>1</v>
      </c>
      <c r="E98" s="44">
        <f>'Data Sheet'!F98</f>
        <v>0</v>
      </c>
      <c r="F98" s="44">
        <f>'Data Sheet'!G98</f>
        <v>2</v>
      </c>
      <c r="G98" s="44">
        <f>'Data Sheet'!H98</f>
        <v>4</v>
      </c>
      <c r="H98" s="44">
        <f>'Data Sheet'!I98</f>
        <v>0</v>
      </c>
      <c r="I98" s="44">
        <f>'Data Sheet'!J98</f>
        <v>0</v>
      </c>
      <c r="J98" s="44">
        <f>'Data Sheet'!K98</f>
        <v>0</v>
      </c>
      <c r="K98" s="44">
        <f>'Data Sheet'!L98</f>
        <v>0</v>
      </c>
      <c r="L98" s="44">
        <f>'Data Sheet'!M98</f>
        <v>0</v>
      </c>
      <c r="M98" s="5"/>
      <c r="N98" s="44">
        <f>'Data Sheet'!O98</f>
        <v>0</v>
      </c>
      <c r="O98" s="44">
        <f>'Data Sheet'!P98</f>
        <v>0</v>
      </c>
      <c r="P98" s="44">
        <f>'Data Sheet'!Q98</f>
        <v>0</v>
      </c>
      <c r="Q98" s="44">
        <f>'Data Sheet'!R98</f>
        <v>0</v>
      </c>
      <c r="R98" s="44">
        <f>'Data Sheet'!S98</f>
        <v>0</v>
      </c>
      <c r="S98" s="44">
        <f>'Data Sheet'!T98</f>
        <v>0</v>
      </c>
      <c r="T98" s="44">
        <f>'Data Sheet'!U98</f>
        <v>0</v>
      </c>
      <c r="U98" s="44">
        <f>'Data Sheet'!V98</f>
        <v>0</v>
      </c>
      <c r="V98" s="5"/>
      <c r="W98" s="16" t="str">
        <f t="shared" si="12"/>
        <v/>
      </c>
      <c r="X98" s="10">
        <v>0</v>
      </c>
      <c r="Y98" s="11">
        <v>0</v>
      </c>
      <c r="Z98" s="11">
        <v>1</v>
      </c>
      <c r="AA98" s="11">
        <v>0</v>
      </c>
      <c r="AB98" s="11">
        <v>0</v>
      </c>
      <c r="AC98" s="11">
        <v>0</v>
      </c>
      <c r="AD98" s="11">
        <v>0</v>
      </c>
      <c r="AE98" s="12">
        <v>0</v>
      </c>
      <c r="AG98" s="45">
        <f t="shared" si="15"/>
        <v>1</v>
      </c>
      <c r="AH98" s="45">
        <f t="shared" si="13"/>
        <v>1</v>
      </c>
      <c r="AI98" s="45">
        <f t="shared" si="16"/>
        <v>0</v>
      </c>
      <c r="AJ98" s="45">
        <f t="shared" si="17"/>
        <v>0</v>
      </c>
      <c r="AK98" s="45">
        <f t="shared" si="14"/>
        <v>0</v>
      </c>
      <c r="AL98" s="1">
        <f t="shared" si="18"/>
        <v>0</v>
      </c>
      <c r="AM98" s="1">
        <f t="shared" si="19"/>
        <v>0</v>
      </c>
      <c r="AO98" s="45">
        <f t="shared" si="20"/>
        <v>0</v>
      </c>
      <c r="AP98" s="45">
        <f t="shared" si="21"/>
        <v>0</v>
      </c>
      <c r="AQ98" s="45">
        <f t="shared" si="22"/>
        <v>0</v>
      </c>
    </row>
    <row r="99" spans="1:43" ht="15" thickTop="1" thickBot="1" x14ac:dyDescent="0.5">
      <c r="A99" s="68" t="str">
        <f>IF(ISTEXT('Data Sheet'!B99),'Data Sheet'!B99&amp;" "&amp;'Data Sheet'!A99,"")</f>
        <v>JAEKAIRAH HARDEN</v>
      </c>
      <c r="B99" s="70">
        <f>'Data Sheet'!C99</f>
        <v>97</v>
      </c>
      <c r="C99" s="38"/>
      <c r="D99" s="44">
        <f>'Data Sheet'!E99</f>
        <v>0</v>
      </c>
      <c r="E99" s="44">
        <f>'Data Sheet'!F99</f>
        <v>1</v>
      </c>
      <c r="F99" s="44">
        <f>'Data Sheet'!G99</f>
        <v>2</v>
      </c>
      <c r="G99" s="44">
        <f>'Data Sheet'!H99</f>
        <v>2</v>
      </c>
      <c r="H99" s="44">
        <f>'Data Sheet'!I99</f>
        <v>1</v>
      </c>
      <c r="I99" s="44">
        <f>'Data Sheet'!J99</f>
        <v>0</v>
      </c>
      <c r="J99" s="44">
        <f>'Data Sheet'!K99</f>
        <v>0</v>
      </c>
      <c r="K99" s="44">
        <f>'Data Sheet'!L99</f>
        <v>0</v>
      </c>
      <c r="L99" s="44">
        <f>'Data Sheet'!M99</f>
        <v>0</v>
      </c>
      <c r="M99" s="5"/>
      <c r="N99" s="44">
        <f>'Data Sheet'!O99</f>
        <v>0</v>
      </c>
      <c r="O99" s="44">
        <f>'Data Sheet'!P99</f>
        <v>1</v>
      </c>
      <c r="P99" s="44">
        <f>'Data Sheet'!Q99</f>
        <v>0</v>
      </c>
      <c r="Q99" s="44">
        <f>'Data Sheet'!R99</f>
        <v>0</v>
      </c>
      <c r="R99" s="44">
        <f>'Data Sheet'!S99</f>
        <v>0</v>
      </c>
      <c r="S99" s="44">
        <f>'Data Sheet'!T99</f>
        <v>0</v>
      </c>
      <c r="T99" s="44">
        <f>'Data Sheet'!U99</f>
        <v>0</v>
      </c>
      <c r="U99" s="44">
        <f>'Data Sheet'!V99</f>
        <v>0</v>
      </c>
      <c r="V99" s="5"/>
      <c r="W99" s="16" t="str">
        <f t="shared" si="12"/>
        <v/>
      </c>
      <c r="X99" s="10">
        <v>0</v>
      </c>
      <c r="Y99" s="11">
        <v>1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2">
        <v>0</v>
      </c>
      <c r="AG99" s="45">
        <f t="shared" si="15"/>
        <v>1</v>
      </c>
      <c r="AH99" s="45">
        <f t="shared" si="13"/>
        <v>1</v>
      </c>
      <c r="AI99" s="45">
        <f t="shared" si="16"/>
        <v>0</v>
      </c>
      <c r="AJ99" s="45">
        <f t="shared" si="17"/>
        <v>0</v>
      </c>
      <c r="AK99" s="45">
        <f t="shared" si="14"/>
        <v>1</v>
      </c>
      <c r="AL99" s="1">
        <f t="shared" si="18"/>
        <v>1</v>
      </c>
      <c r="AM99" s="1">
        <f t="shared" si="19"/>
        <v>0</v>
      </c>
      <c r="AO99" s="45">
        <f t="shared" si="20"/>
        <v>1</v>
      </c>
      <c r="AP99" s="45">
        <f t="shared" si="21"/>
        <v>1</v>
      </c>
      <c r="AQ99" s="45">
        <f t="shared" si="22"/>
        <v>0</v>
      </c>
    </row>
    <row r="100" spans="1:43" ht="15" thickTop="1" thickBot="1" x14ac:dyDescent="0.5">
      <c r="A100" s="68" t="str">
        <f>IF(ISTEXT('Data Sheet'!B100),'Data Sheet'!B100&amp;" "&amp;'Data Sheet'!A100,"")</f>
        <v>KYRA HARVEY</v>
      </c>
      <c r="B100" s="70">
        <f>'Data Sheet'!C100</f>
        <v>98</v>
      </c>
      <c r="C100" s="38"/>
      <c r="D100" s="44">
        <f>'Data Sheet'!E100</f>
        <v>0</v>
      </c>
      <c r="E100" s="44">
        <f>'Data Sheet'!F100</f>
        <v>1</v>
      </c>
      <c r="F100" s="44">
        <f>'Data Sheet'!G100</f>
        <v>2</v>
      </c>
      <c r="G100" s="44">
        <f>'Data Sheet'!H100</f>
        <v>3</v>
      </c>
      <c r="H100" s="44">
        <f>'Data Sheet'!I100</f>
        <v>0</v>
      </c>
      <c r="I100" s="44">
        <f>'Data Sheet'!J100</f>
        <v>0</v>
      </c>
      <c r="J100" s="44">
        <f>'Data Sheet'!K100</f>
        <v>0</v>
      </c>
      <c r="K100" s="44">
        <f>'Data Sheet'!L100</f>
        <v>0</v>
      </c>
      <c r="L100" s="44">
        <f>'Data Sheet'!M100</f>
        <v>0</v>
      </c>
      <c r="M100" s="5"/>
      <c r="N100" s="44">
        <f>'Data Sheet'!O100</f>
        <v>0</v>
      </c>
      <c r="O100" s="44">
        <f>'Data Sheet'!P100</f>
        <v>0</v>
      </c>
      <c r="P100" s="44">
        <f>'Data Sheet'!Q100</f>
        <v>0</v>
      </c>
      <c r="Q100" s="44">
        <f>'Data Sheet'!R100</f>
        <v>0</v>
      </c>
      <c r="R100" s="44">
        <f>'Data Sheet'!S100</f>
        <v>0</v>
      </c>
      <c r="S100" s="44">
        <f>'Data Sheet'!T100</f>
        <v>0</v>
      </c>
      <c r="T100" s="44">
        <f>'Data Sheet'!U100</f>
        <v>0</v>
      </c>
      <c r="U100" s="44">
        <f>'Data Sheet'!V100</f>
        <v>0</v>
      </c>
      <c r="V100" s="5"/>
      <c r="W100" s="16" t="str">
        <f t="shared" si="12"/>
        <v/>
      </c>
      <c r="X100" s="10">
        <v>0</v>
      </c>
      <c r="Y100" s="11">
        <v>0</v>
      </c>
      <c r="Z100" s="11">
        <v>0</v>
      </c>
      <c r="AA100" s="11">
        <v>0</v>
      </c>
      <c r="AB100" s="11">
        <v>1</v>
      </c>
      <c r="AC100" s="11">
        <v>0</v>
      </c>
      <c r="AD100" s="11">
        <v>0</v>
      </c>
      <c r="AE100" s="12">
        <v>0</v>
      </c>
      <c r="AG100" s="45">
        <f t="shared" si="15"/>
        <v>1</v>
      </c>
      <c r="AH100" s="45">
        <f t="shared" si="13"/>
        <v>1</v>
      </c>
      <c r="AI100" s="45">
        <f t="shared" si="16"/>
        <v>0</v>
      </c>
      <c r="AJ100" s="45">
        <f t="shared" si="17"/>
        <v>0</v>
      </c>
      <c r="AK100" s="45">
        <f t="shared" si="14"/>
        <v>0</v>
      </c>
      <c r="AL100" s="1">
        <f t="shared" si="18"/>
        <v>0</v>
      </c>
      <c r="AM100" s="1">
        <f t="shared" si="19"/>
        <v>0</v>
      </c>
      <c r="AO100" s="45">
        <f t="shared" si="20"/>
        <v>0</v>
      </c>
      <c r="AP100" s="45">
        <f t="shared" si="21"/>
        <v>0</v>
      </c>
      <c r="AQ100" s="45">
        <f t="shared" si="22"/>
        <v>0</v>
      </c>
    </row>
    <row r="101" spans="1:43" ht="15" thickTop="1" thickBot="1" x14ac:dyDescent="0.5">
      <c r="A101" s="68" t="str">
        <f>IF(ISTEXT('Data Sheet'!B101),'Data Sheet'!B101&amp;" "&amp;'Data Sheet'!A101,"")</f>
        <v>SAMAYA PRATT</v>
      </c>
      <c r="B101" s="70">
        <f>'Data Sheet'!C101</f>
        <v>99</v>
      </c>
      <c r="C101" s="38"/>
      <c r="D101" s="44">
        <f>'Data Sheet'!E101</f>
        <v>0</v>
      </c>
      <c r="E101" s="44">
        <f>'Data Sheet'!F101</f>
        <v>1</v>
      </c>
      <c r="F101" s="44">
        <f>'Data Sheet'!G101</f>
        <v>1</v>
      </c>
      <c r="G101" s="44">
        <f>'Data Sheet'!H101</f>
        <v>4</v>
      </c>
      <c r="H101" s="44">
        <f>'Data Sheet'!I101</f>
        <v>0</v>
      </c>
      <c r="I101" s="44">
        <f>'Data Sheet'!J101</f>
        <v>0</v>
      </c>
      <c r="J101" s="44">
        <f>'Data Sheet'!K101</f>
        <v>0</v>
      </c>
      <c r="K101" s="44">
        <f>'Data Sheet'!L101</f>
        <v>0</v>
      </c>
      <c r="L101" s="44">
        <f>'Data Sheet'!M101</f>
        <v>0</v>
      </c>
      <c r="M101" s="5"/>
      <c r="N101" s="44">
        <f>'Data Sheet'!O101</f>
        <v>0</v>
      </c>
      <c r="O101" s="44">
        <f>'Data Sheet'!P101</f>
        <v>0</v>
      </c>
      <c r="P101" s="44">
        <f>'Data Sheet'!Q101</f>
        <v>0</v>
      </c>
      <c r="Q101" s="44">
        <f>'Data Sheet'!R101</f>
        <v>0</v>
      </c>
      <c r="R101" s="44">
        <f>'Data Sheet'!S101</f>
        <v>0</v>
      </c>
      <c r="S101" s="44">
        <f>'Data Sheet'!T101</f>
        <v>1</v>
      </c>
      <c r="T101" s="44">
        <f>'Data Sheet'!U101</f>
        <v>0</v>
      </c>
      <c r="U101" s="44">
        <f>'Data Sheet'!V101</f>
        <v>0</v>
      </c>
      <c r="V101" s="5"/>
      <c r="W101" s="16" t="str">
        <f t="shared" si="12"/>
        <v/>
      </c>
      <c r="X101" s="10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1</v>
      </c>
      <c r="AD101" s="11">
        <v>0</v>
      </c>
      <c r="AE101" s="12">
        <v>0</v>
      </c>
      <c r="AG101" s="45">
        <f t="shared" si="15"/>
        <v>1</v>
      </c>
      <c r="AH101" s="45">
        <f t="shared" si="13"/>
        <v>1</v>
      </c>
      <c r="AI101" s="45">
        <f t="shared" si="16"/>
        <v>0</v>
      </c>
      <c r="AJ101" s="45">
        <f t="shared" si="17"/>
        <v>0</v>
      </c>
      <c r="AK101" s="45">
        <f t="shared" si="14"/>
        <v>1</v>
      </c>
      <c r="AL101" s="1">
        <f t="shared" si="18"/>
        <v>1</v>
      </c>
      <c r="AM101" s="1">
        <f t="shared" si="19"/>
        <v>0</v>
      </c>
      <c r="AO101" s="45">
        <f t="shared" si="20"/>
        <v>1</v>
      </c>
      <c r="AP101" s="45">
        <f t="shared" si="21"/>
        <v>1</v>
      </c>
      <c r="AQ101" s="45">
        <f t="shared" si="22"/>
        <v>0</v>
      </c>
    </row>
    <row r="102" spans="1:43" ht="15" thickTop="1" thickBot="1" x14ac:dyDescent="0.5">
      <c r="A102" s="68" t="str">
        <f>IF(ISTEXT('Data Sheet'!B102),'Data Sheet'!B102&amp;" "&amp;'Data Sheet'!A102,"")</f>
        <v>RHYA THOMPSON</v>
      </c>
      <c r="B102" s="70">
        <f>'Data Sheet'!C102</f>
        <v>100</v>
      </c>
      <c r="C102" s="38"/>
      <c r="D102" s="44">
        <f>'Data Sheet'!E102</f>
        <v>0</v>
      </c>
      <c r="E102" s="44">
        <f>'Data Sheet'!F102</f>
        <v>1</v>
      </c>
      <c r="F102" s="44">
        <f>'Data Sheet'!G102</f>
        <v>1</v>
      </c>
      <c r="G102" s="44">
        <f>'Data Sheet'!H102</f>
        <v>3</v>
      </c>
      <c r="H102" s="44">
        <f>'Data Sheet'!I102</f>
        <v>1</v>
      </c>
      <c r="I102" s="44">
        <f>'Data Sheet'!J102</f>
        <v>0</v>
      </c>
      <c r="J102" s="44">
        <f>'Data Sheet'!K102</f>
        <v>0</v>
      </c>
      <c r="K102" s="44">
        <f>'Data Sheet'!L102</f>
        <v>0</v>
      </c>
      <c r="L102" s="44">
        <f>'Data Sheet'!M102</f>
        <v>0</v>
      </c>
      <c r="M102" s="5"/>
      <c r="N102" s="44">
        <f>'Data Sheet'!O102</f>
        <v>0</v>
      </c>
      <c r="O102" s="44">
        <f>'Data Sheet'!P102</f>
        <v>0</v>
      </c>
      <c r="P102" s="44">
        <f>'Data Sheet'!Q102</f>
        <v>0</v>
      </c>
      <c r="Q102" s="44">
        <f>'Data Sheet'!R102</f>
        <v>0</v>
      </c>
      <c r="R102" s="44">
        <f>'Data Sheet'!S102</f>
        <v>0</v>
      </c>
      <c r="S102" s="44">
        <f>'Data Sheet'!T102</f>
        <v>0</v>
      </c>
      <c r="T102" s="44">
        <f>'Data Sheet'!U102</f>
        <v>0</v>
      </c>
      <c r="U102" s="44">
        <f>'Data Sheet'!V102</f>
        <v>0</v>
      </c>
      <c r="V102" s="5"/>
      <c r="W102" s="16" t="str">
        <f t="shared" si="12"/>
        <v/>
      </c>
      <c r="X102" s="10">
        <v>0</v>
      </c>
      <c r="Y102" s="11">
        <v>0</v>
      </c>
      <c r="Z102" s="11">
        <v>0</v>
      </c>
      <c r="AA102" s="11">
        <v>0</v>
      </c>
      <c r="AB102" s="11">
        <v>0</v>
      </c>
      <c r="AC102" s="11">
        <v>0</v>
      </c>
      <c r="AD102" s="11">
        <v>0</v>
      </c>
      <c r="AE102" s="12">
        <v>1</v>
      </c>
      <c r="AG102" s="45">
        <f t="shared" si="15"/>
        <v>1</v>
      </c>
      <c r="AH102" s="45">
        <f t="shared" si="13"/>
        <v>1</v>
      </c>
      <c r="AI102" s="45">
        <f t="shared" si="16"/>
        <v>0</v>
      </c>
      <c r="AJ102" s="45">
        <f t="shared" si="17"/>
        <v>0</v>
      </c>
      <c r="AK102" s="45">
        <f t="shared" si="14"/>
        <v>0</v>
      </c>
      <c r="AL102" s="1">
        <f t="shared" si="18"/>
        <v>0</v>
      </c>
      <c r="AM102" s="1">
        <f t="shared" si="19"/>
        <v>0</v>
      </c>
      <c r="AO102" s="45">
        <f t="shared" si="20"/>
        <v>0</v>
      </c>
      <c r="AP102" s="45">
        <f t="shared" si="21"/>
        <v>0</v>
      </c>
      <c r="AQ102" s="45">
        <f t="shared" si="22"/>
        <v>0</v>
      </c>
    </row>
    <row r="103" spans="1:43" ht="15" thickTop="1" thickBot="1" x14ac:dyDescent="0.5">
      <c r="A103" s="68" t="str">
        <f>IF(ISTEXT('Data Sheet'!B103),'Data Sheet'!B103&amp;" "&amp;'Data Sheet'!A103,"")</f>
        <v>BREAIONA GRISSOM</v>
      </c>
      <c r="B103" s="70">
        <f>'Data Sheet'!C103</f>
        <v>101</v>
      </c>
      <c r="C103" s="38"/>
      <c r="D103" s="44">
        <f>'Data Sheet'!E103</f>
        <v>0</v>
      </c>
      <c r="E103" s="44">
        <f>'Data Sheet'!F103</f>
        <v>1</v>
      </c>
      <c r="F103" s="44">
        <f>'Data Sheet'!G103</f>
        <v>2</v>
      </c>
      <c r="G103" s="44">
        <f>'Data Sheet'!H103</f>
        <v>4</v>
      </c>
      <c r="H103" s="44">
        <f>'Data Sheet'!I103</f>
        <v>0</v>
      </c>
      <c r="I103" s="44">
        <f>'Data Sheet'!J103</f>
        <v>0</v>
      </c>
      <c r="J103" s="44">
        <f>'Data Sheet'!K103</f>
        <v>0</v>
      </c>
      <c r="K103" s="44">
        <f>'Data Sheet'!L103</f>
        <v>0</v>
      </c>
      <c r="L103" s="44">
        <f>'Data Sheet'!M103</f>
        <v>0</v>
      </c>
      <c r="M103" s="5"/>
      <c r="N103" s="44">
        <f>'Data Sheet'!O103</f>
        <v>0</v>
      </c>
      <c r="O103" s="44">
        <f>'Data Sheet'!P103</f>
        <v>0</v>
      </c>
      <c r="P103" s="44">
        <f>'Data Sheet'!Q103</f>
        <v>0</v>
      </c>
      <c r="Q103" s="44">
        <f>'Data Sheet'!R103</f>
        <v>0</v>
      </c>
      <c r="R103" s="44">
        <f>'Data Sheet'!S103</f>
        <v>0</v>
      </c>
      <c r="S103" s="44">
        <f>'Data Sheet'!T103</f>
        <v>0</v>
      </c>
      <c r="T103" s="44">
        <f>'Data Sheet'!U103</f>
        <v>0</v>
      </c>
      <c r="U103" s="44">
        <f>'Data Sheet'!V103</f>
        <v>0</v>
      </c>
      <c r="V103" s="5"/>
      <c r="W103" s="16" t="str">
        <f t="shared" si="12"/>
        <v/>
      </c>
      <c r="X103" s="10">
        <v>0</v>
      </c>
      <c r="Y103" s="11">
        <v>0</v>
      </c>
      <c r="Z103" s="11">
        <v>0</v>
      </c>
      <c r="AA103" s="11">
        <v>0</v>
      </c>
      <c r="AB103" s="11">
        <v>0</v>
      </c>
      <c r="AC103" s="11">
        <v>1</v>
      </c>
      <c r="AD103" s="11">
        <v>0</v>
      </c>
      <c r="AE103" s="12">
        <v>0</v>
      </c>
      <c r="AG103" s="45">
        <f t="shared" si="15"/>
        <v>1</v>
      </c>
      <c r="AH103" s="45">
        <f t="shared" si="13"/>
        <v>1</v>
      </c>
      <c r="AI103" s="45">
        <f t="shared" si="16"/>
        <v>0</v>
      </c>
      <c r="AJ103" s="45">
        <f t="shared" si="17"/>
        <v>0</v>
      </c>
      <c r="AK103" s="45">
        <f t="shared" si="14"/>
        <v>0</v>
      </c>
      <c r="AL103" s="1">
        <f t="shared" si="18"/>
        <v>0</v>
      </c>
      <c r="AM103" s="1">
        <f t="shared" si="19"/>
        <v>0</v>
      </c>
      <c r="AO103" s="45">
        <f t="shared" si="20"/>
        <v>0</v>
      </c>
      <c r="AP103" s="45">
        <f t="shared" si="21"/>
        <v>0</v>
      </c>
      <c r="AQ103" s="45">
        <f t="shared" si="22"/>
        <v>0</v>
      </c>
    </row>
    <row r="104" spans="1:43" ht="15" thickTop="1" thickBot="1" x14ac:dyDescent="0.5">
      <c r="A104" s="68" t="str">
        <f>IF(ISTEXT('Data Sheet'!B104),'Data Sheet'!B104&amp;" "&amp;'Data Sheet'!A104,"")</f>
        <v>ELIJAH JOHNSON</v>
      </c>
      <c r="B104" s="70">
        <f>'Data Sheet'!C104</f>
        <v>102</v>
      </c>
      <c r="C104" s="38"/>
      <c r="D104" s="44">
        <f>'Data Sheet'!E104</f>
        <v>1</v>
      </c>
      <c r="E104" s="44">
        <f>'Data Sheet'!F104</f>
        <v>1</v>
      </c>
      <c r="F104" s="44">
        <f>'Data Sheet'!G104</f>
        <v>2</v>
      </c>
      <c r="G104" s="44">
        <f>'Data Sheet'!H104</f>
        <v>4</v>
      </c>
      <c r="H104" s="44">
        <f>'Data Sheet'!I104</f>
        <v>0</v>
      </c>
      <c r="I104" s="44">
        <f>'Data Sheet'!J104</f>
        <v>0</v>
      </c>
      <c r="J104" s="44">
        <f>'Data Sheet'!K104</f>
        <v>0</v>
      </c>
      <c r="K104" s="44">
        <f>'Data Sheet'!L104</f>
        <v>0</v>
      </c>
      <c r="L104" s="44">
        <f>'Data Sheet'!M104</f>
        <v>0</v>
      </c>
      <c r="M104" s="5"/>
      <c r="N104" s="44">
        <f>'Data Sheet'!O104</f>
        <v>0</v>
      </c>
      <c r="O104" s="44">
        <f>'Data Sheet'!P104</f>
        <v>0</v>
      </c>
      <c r="P104" s="44">
        <f>'Data Sheet'!Q104</f>
        <v>0</v>
      </c>
      <c r="Q104" s="44">
        <f>'Data Sheet'!R104</f>
        <v>0</v>
      </c>
      <c r="R104" s="44">
        <f>'Data Sheet'!S104</f>
        <v>0</v>
      </c>
      <c r="S104" s="44">
        <f>'Data Sheet'!T104</f>
        <v>0</v>
      </c>
      <c r="T104" s="44">
        <f>'Data Sheet'!U104</f>
        <v>0</v>
      </c>
      <c r="U104" s="44">
        <f>'Data Sheet'!V104</f>
        <v>0</v>
      </c>
      <c r="V104" s="5"/>
      <c r="W104" s="16" t="str">
        <f t="shared" si="12"/>
        <v/>
      </c>
      <c r="X104" s="10">
        <v>0</v>
      </c>
      <c r="Y104" s="11">
        <v>0</v>
      </c>
      <c r="Z104" s="11">
        <v>0</v>
      </c>
      <c r="AA104" s="11">
        <v>1</v>
      </c>
      <c r="AB104" s="11">
        <v>0</v>
      </c>
      <c r="AC104" s="11">
        <v>0</v>
      </c>
      <c r="AD104" s="11">
        <v>0</v>
      </c>
      <c r="AE104" s="12">
        <v>0</v>
      </c>
      <c r="AG104" s="45">
        <f t="shared" si="15"/>
        <v>1</v>
      </c>
      <c r="AH104" s="45">
        <f t="shared" si="13"/>
        <v>1</v>
      </c>
      <c r="AI104" s="45">
        <f t="shared" si="16"/>
        <v>0</v>
      </c>
      <c r="AJ104" s="45">
        <f t="shared" si="17"/>
        <v>0</v>
      </c>
      <c r="AK104" s="45">
        <f t="shared" si="14"/>
        <v>0</v>
      </c>
      <c r="AL104" s="1">
        <f t="shared" si="18"/>
        <v>0</v>
      </c>
      <c r="AM104" s="1">
        <f t="shared" si="19"/>
        <v>0</v>
      </c>
      <c r="AO104" s="45">
        <f t="shared" si="20"/>
        <v>0</v>
      </c>
      <c r="AP104" s="45">
        <f t="shared" si="21"/>
        <v>0</v>
      </c>
      <c r="AQ104" s="45">
        <f t="shared" si="22"/>
        <v>0</v>
      </c>
    </row>
    <row r="105" spans="1:43" ht="15" thickTop="1" thickBot="1" x14ac:dyDescent="0.5">
      <c r="A105" s="68" t="str">
        <f>IF(ISTEXT('Data Sheet'!B105),'Data Sheet'!B105&amp;" "&amp;'Data Sheet'!A105,"")</f>
        <v>ANIYAH MITCHELL</v>
      </c>
      <c r="B105" s="70">
        <f>'Data Sheet'!C105</f>
        <v>103</v>
      </c>
      <c r="C105" s="38"/>
      <c r="D105" s="44">
        <f>'Data Sheet'!E105</f>
        <v>0</v>
      </c>
      <c r="E105" s="44">
        <f>'Data Sheet'!F105</f>
        <v>1</v>
      </c>
      <c r="F105" s="44">
        <f>'Data Sheet'!G105</f>
        <v>2</v>
      </c>
      <c r="G105" s="44">
        <f>'Data Sheet'!H105</f>
        <v>4</v>
      </c>
      <c r="H105" s="44">
        <f>'Data Sheet'!I105</f>
        <v>0</v>
      </c>
      <c r="I105" s="44">
        <f>'Data Sheet'!J105</f>
        <v>0</v>
      </c>
      <c r="J105" s="44">
        <f>'Data Sheet'!K105</f>
        <v>0</v>
      </c>
      <c r="K105" s="44">
        <f>'Data Sheet'!L105</f>
        <v>0</v>
      </c>
      <c r="L105" s="44">
        <f>'Data Sheet'!M105</f>
        <v>0</v>
      </c>
      <c r="M105" s="5"/>
      <c r="N105" s="44">
        <f>'Data Sheet'!O105</f>
        <v>0</v>
      </c>
      <c r="O105" s="44">
        <f>'Data Sheet'!P105</f>
        <v>0</v>
      </c>
      <c r="P105" s="44">
        <f>'Data Sheet'!Q105</f>
        <v>0</v>
      </c>
      <c r="Q105" s="44">
        <f>'Data Sheet'!R105</f>
        <v>0</v>
      </c>
      <c r="R105" s="44">
        <f>'Data Sheet'!S105</f>
        <v>0</v>
      </c>
      <c r="S105" s="44">
        <f>'Data Sheet'!T105</f>
        <v>0</v>
      </c>
      <c r="T105" s="44">
        <f>'Data Sheet'!U105</f>
        <v>0</v>
      </c>
      <c r="U105" s="44">
        <f>'Data Sheet'!V105</f>
        <v>0</v>
      </c>
      <c r="V105" s="5"/>
      <c r="W105" s="16" t="str">
        <f t="shared" si="12"/>
        <v/>
      </c>
      <c r="X105" s="10">
        <v>0</v>
      </c>
      <c r="Y105" s="11">
        <v>1</v>
      </c>
      <c r="Z105" s="11">
        <v>0</v>
      </c>
      <c r="AA105" s="11">
        <v>0</v>
      </c>
      <c r="AB105" s="11">
        <v>0</v>
      </c>
      <c r="AC105" s="11">
        <v>0</v>
      </c>
      <c r="AD105" s="11">
        <v>0</v>
      </c>
      <c r="AE105" s="12">
        <v>0</v>
      </c>
      <c r="AG105" s="45">
        <f t="shared" si="15"/>
        <v>1</v>
      </c>
      <c r="AH105" s="45">
        <f t="shared" si="13"/>
        <v>1</v>
      </c>
      <c r="AI105" s="45">
        <f t="shared" si="16"/>
        <v>0</v>
      </c>
      <c r="AJ105" s="45">
        <f t="shared" si="17"/>
        <v>0</v>
      </c>
      <c r="AK105" s="45">
        <f t="shared" si="14"/>
        <v>0</v>
      </c>
      <c r="AL105" s="1">
        <f t="shared" si="18"/>
        <v>0</v>
      </c>
      <c r="AM105" s="1">
        <f t="shared" si="19"/>
        <v>0</v>
      </c>
      <c r="AO105" s="45">
        <f t="shared" si="20"/>
        <v>0</v>
      </c>
      <c r="AP105" s="45">
        <f t="shared" si="21"/>
        <v>0</v>
      </c>
      <c r="AQ105" s="45">
        <f t="shared" si="22"/>
        <v>0</v>
      </c>
    </row>
    <row r="106" spans="1:43" ht="15" thickTop="1" thickBot="1" x14ac:dyDescent="0.5">
      <c r="A106" s="68" t="str">
        <f>IF(ISTEXT('Data Sheet'!B106),'Data Sheet'!B106&amp;" "&amp;'Data Sheet'!A106,"")</f>
        <v>LILLIAN RUMSEY</v>
      </c>
      <c r="B106" s="70">
        <f>'Data Sheet'!C106</f>
        <v>104</v>
      </c>
      <c r="C106" s="38"/>
      <c r="D106" s="44">
        <f>'Data Sheet'!E106</f>
        <v>0</v>
      </c>
      <c r="E106" s="44">
        <f>'Data Sheet'!F106</f>
        <v>0</v>
      </c>
      <c r="F106" s="44">
        <f>'Data Sheet'!G106</f>
        <v>2</v>
      </c>
      <c r="G106" s="44">
        <f>'Data Sheet'!H106</f>
        <v>4</v>
      </c>
      <c r="H106" s="44">
        <f>'Data Sheet'!I106</f>
        <v>0</v>
      </c>
      <c r="I106" s="44">
        <f>'Data Sheet'!J106</f>
        <v>0</v>
      </c>
      <c r="J106" s="44">
        <f>'Data Sheet'!K106</f>
        <v>0</v>
      </c>
      <c r="K106" s="44">
        <f>'Data Sheet'!L106</f>
        <v>0</v>
      </c>
      <c r="L106" s="44">
        <f>'Data Sheet'!M106</f>
        <v>0</v>
      </c>
      <c r="M106" s="5"/>
      <c r="N106" s="44">
        <f>'Data Sheet'!O106</f>
        <v>0</v>
      </c>
      <c r="O106" s="44">
        <f>'Data Sheet'!P106</f>
        <v>0</v>
      </c>
      <c r="P106" s="44">
        <f>'Data Sheet'!Q106</f>
        <v>0</v>
      </c>
      <c r="Q106" s="44">
        <f>'Data Sheet'!R106</f>
        <v>0</v>
      </c>
      <c r="R106" s="44">
        <f>'Data Sheet'!S106</f>
        <v>0</v>
      </c>
      <c r="S106" s="44">
        <f>'Data Sheet'!T106</f>
        <v>0</v>
      </c>
      <c r="T106" s="44">
        <f>'Data Sheet'!U106</f>
        <v>0</v>
      </c>
      <c r="U106" s="44">
        <f>'Data Sheet'!V106</f>
        <v>0</v>
      </c>
      <c r="V106" s="5"/>
      <c r="W106" s="16" t="str">
        <f t="shared" si="12"/>
        <v/>
      </c>
      <c r="X106" s="10">
        <v>0</v>
      </c>
      <c r="Y106" s="11">
        <v>0</v>
      </c>
      <c r="Z106" s="11">
        <v>0</v>
      </c>
      <c r="AA106" s="11">
        <v>0</v>
      </c>
      <c r="AB106" s="11">
        <v>0</v>
      </c>
      <c r="AC106" s="11">
        <v>0</v>
      </c>
      <c r="AD106" s="11">
        <v>1</v>
      </c>
      <c r="AE106" s="12">
        <v>0</v>
      </c>
      <c r="AG106" s="45">
        <f t="shared" si="15"/>
        <v>1</v>
      </c>
      <c r="AH106" s="45">
        <f t="shared" si="13"/>
        <v>1</v>
      </c>
      <c r="AI106" s="45">
        <f t="shared" si="16"/>
        <v>0</v>
      </c>
      <c r="AJ106" s="45">
        <f t="shared" si="17"/>
        <v>0</v>
      </c>
      <c r="AK106" s="45">
        <f t="shared" si="14"/>
        <v>0</v>
      </c>
      <c r="AL106" s="1">
        <f t="shared" si="18"/>
        <v>0</v>
      </c>
      <c r="AM106" s="1">
        <f t="shared" si="19"/>
        <v>0</v>
      </c>
      <c r="AO106" s="45">
        <f t="shared" si="20"/>
        <v>0</v>
      </c>
      <c r="AP106" s="45">
        <f t="shared" si="21"/>
        <v>0</v>
      </c>
      <c r="AQ106" s="45">
        <f t="shared" si="22"/>
        <v>0</v>
      </c>
    </row>
    <row r="107" spans="1:43" ht="15" thickTop="1" thickBot="1" x14ac:dyDescent="0.5">
      <c r="A107" s="68" t="str">
        <f>IF(ISTEXT('Data Sheet'!B107),'Data Sheet'!B107&amp;" "&amp;'Data Sheet'!A107,"")</f>
        <v>JAYDA SWEETING</v>
      </c>
      <c r="B107" s="70">
        <f>'Data Sheet'!C107</f>
        <v>105</v>
      </c>
      <c r="C107" s="38"/>
      <c r="D107" s="44">
        <f>'Data Sheet'!E107</f>
        <v>0</v>
      </c>
      <c r="E107" s="44">
        <f>'Data Sheet'!F107</f>
        <v>1</v>
      </c>
      <c r="F107" s="44">
        <f>'Data Sheet'!G107</f>
        <v>2</v>
      </c>
      <c r="G107" s="44">
        <f>'Data Sheet'!H107</f>
        <v>4</v>
      </c>
      <c r="H107" s="44">
        <f>'Data Sheet'!I107</f>
        <v>0</v>
      </c>
      <c r="I107" s="44">
        <f>'Data Sheet'!J107</f>
        <v>0</v>
      </c>
      <c r="J107" s="44">
        <f>'Data Sheet'!K107</f>
        <v>0</v>
      </c>
      <c r="K107" s="44">
        <f>'Data Sheet'!L107</f>
        <v>0</v>
      </c>
      <c r="L107" s="44">
        <f>'Data Sheet'!M107</f>
        <v>0</v>
      </c>
      <c r="M107" s="5"/>
      <c r="N107" s="44">
        <f>'Data Sheet'!O107</f>
        <v>0</v>
      </c>
      <c r="O107" s="44">
        <f>'Data Sheet'!P107</f>
        <v>0</v>
      </c>
      <c r="P107" s="44">
        <f>'Data Sheet'!Q107</f>
        <v>0</v>
      </c>
      <c r="Q107" s="44">
        <f>'Data Sheet'!R107</f>
        <v>0</v>
      </c>
      <c r="R107" s="44">
        <f>'Data Sheet'!S107</f>
        <v>0</v>
      </c>
      <c r="S107" s="44">
        <f>'Data Sheet'!T107</f>
        <v>0</v>
      </c>
      <c r="T107" s="44">
        <f>'Data Sheet'!U107</f>
        <v>0</v>
      </c>
      <c r="U107" s="44">
        <f>'Data Sheet'!V107</f>
        <v>0</v>
      </c>
      <c r="V107" s="5"/>
      <c r="W107" s="16" t="str">
        <f t="shared" si="12"/>
        <v/>
      </c>
      <c r="X107" s="10">
        <v>0</v>
      </c>
      <c r="Y107" s="11">
        <v>0</v>
      </c>
      <c r="Z107" s="11">
        <v>0</v>
      </c>
      <c r="AA107" s="11">
        <v>0</v>
      </c>
      <c r="AB107" s="11">
        <v>1</v>
      </c>
      <c r="AC107" s="11">
        <v>0</v>
      </c>
      <c r="AD107" s="11">
        <v>0</v>
      </c>
      <c r="AE107" s="12">
        <v>0</v>
      </c>
      <c r="AG107" s="45">
        <f t="shared" si="15"/>
        <v>1</v>
      </c>
      <c r="AH107" s="45">
        <f t="shared" si="13"/>
        <v>1</v>
      </c>
      <c r="AI107" s="45">
        <f t="shared" si="16"/>
        <v>0</v>
      </c>
      <c r="AJ107" s="45">
        <f t="shared" si="17"/>
        <v>0</v>
      </c>
      <c r="AK107" s="45">
        <f t="shared" si="14"/>
        <v>0</v>
      </c>
      <c r="AL107" s="1">
        <f t="shared" si="18"/>
        <v>0</v>
      </c>
      <c r="AM107" s="1">
        <f t="shared" si="19"/>
        <v>0</v>
      </c>
      <c r="AO107" s="45">
        <f t="shared" si="20"/>
        <v>0</v>
      </c>
      <c r="AP107" s="45">
        <f t="shared" si="21"/>
        <v>0</v>
      </c>
      <c r="AQ107" s="45">
        <f t="shared" si="22"/>
        <v>0</v>
      </c>
    </row>
    <row r="108" spans="1:43" ht="15" thickTop="1" thickBot="1" x14ac:dyDescent="0.5">
      <c r="A108" s="68" t="str">
        <f>IF(ISTEXT('Data Sheet'!B108),'Data Sheet'!B108&amp;" "&amp;'Data Sheet'!A108,"")</f>
        <v>BRYCE WINDER</v>
      </c>
      <c r="B108" s="70">
        <f>'Data Sheet'!C108</f>
        <v>106</v>
      </c>
      <c r="C108" s="38"/>
      <c r="D108" s="44">
        <f>'Data Sheet'!E108</f>
        <v>1</v>
      </c>
      <c r="E108" s="44">
        <f>'Data Sheet'!F108</f>
        <v>0</v>
      </c>
      <c r="F108" s="44">
        <f>'Data Sheet'!G108</f>
        <v>2</v>
      </c>
      <c r="G108" s="44">
        <f>'Data Sheet'!H108</f>
        <v>4</v>
      </c>
      <c r="H108" s="44">
        <f>'Data Sheet'!I108</f>
        <v>0</v>
      </c>
      <c r="I108" s="44">
        <f>'Data Sheet'!J108</f>
        <v>0</v>
      </c>
      <c r="J108" s="44">
        <f>'Data Sheet'!K108</f>
        <v>0</v>
      </c>
      <c r="K108" s="44">
        <f>'Data Sheet'!L108</f>
        <v>0</v>
      </c>
      <c r="L108" s="44">
        <f>'Data Sheet'!M108</f>
        <v>0</v>
      </c>
      <c r="M108" s="5"/>
      <c r="N108" s="44">
        <f>'Data Sheet'!O108</f>
        <v>0</v>
      </c>
      <c r="O108" s="44">
        <f>'Data Sheet'!P108</f>
        <v>0</v>
      </c>
      <c r="P108" s="44">
        <f>'Data Sheet'!Q108</f>
        <v>0</v>
      </c>
      <c r="Q108" s="44">
        <f>'Data Sheet'!R108</f>
        <v>0</v>
      </c>
      <c r="R108" s="44">
        <f>'Data Sheet'!S108</f>
        <v>0</v>
      </c>
      <c r="S108" s="44">
        <f>'Data Sheet'!T108</f>
        <v>0</v>
      </c>
      <c r="T108" s="44">
        <f>'Data Sheet'!U108</f>
        <v>0</v>
      </c>
      <c r="U108" s="44">
        <f>'Data Sheet'!V108</f>
        <v>0</v>
      </c>
      <c r="V108" s="5"/>
      <c r="W108" s="16" t="str">
        <f t="shared" si="12"/>
        <v/>
      </c>
      <c r="X108" s="10">
        <v>1</v>
      </c>
      <c r="Y108" s="11">
        <v>0</v>
      </c>
      <c r="Z108" s="11">
        <v>0</v>
      </c>
      <c r="AA108" s="11">
        <v>0</v>
      </c>
      <c r="AB108" s="11">
        <v>0</v>
      </c>
      <c r="AC108" s="11">
        <v>0</v>
      </c>
      <c r="AD108" s="11">
        <v>0</v>
      </c>
      <c r="AE108" s="12">
        <v>0</v>
      </c>
      <c r="AG108" s="45">
        <f t="shared" si="15"/>
        <v>1</v>
      </c>
      <c r="AH108" s="45">
        <f t="shared" si="13"/>
        <v>1</v>
      </c>
      <c r="AI108" s="45">
        <f t="shared" si="16"/>
        <v>0</v>
      </c>
      <c r="AJ108" s="45">
        <f t="shared" si="17"/>
        <v>0</v>
      </c>
      <c r="AK108" s="45">
        <f t="shared" si="14"/>
        <v>0</v>
      </c>
      <c r="AL108" s="1">
        <f t="shared" si="18"/>
        <v>0</v>
      </c>
      <c r="AM108" s="1">
        <f t="shared" si="19"/>
        <v>0</v>
      </c>
      <c r="AO108" s="45">
        <f t="shared" si="20"/>
        <v>0</v>
      </c>
      <c r="AP108" s="45">
        <f t="shared" si="21"/>
        <v>0</v>
      </c>
      <c r="AQ108" s="45">
        <f t="shared" si="22"/>
        <v>0</v>
      </c>
    </row>
    <row r="109" spans="1:43" ht="15" thickTop="1" thickBot="1" x14ac:dyDescent="0.5">
      <c r="A109" s="68" t="str">
        <f>IF(ISTEXT('Data Sheet'!B109),'Data Sheet'!B109&amp;" "&amp;'Data Sheet'!A109,"")</f>
        <v>NOAH DEITRICK</v>
      </c>
      <c r="B109" s="70">
        <f>'Data Sheet'!C109</f>
        <v>107</v>
      </c>
      <c r="C109" s="38"/>
      <c r="D109" s="44">
        <f>'Data Sheet'!E109</f>
        <v>1</v>
      </c>
      <c r="E109" s="44">
        <f>'Data Sheet'!F109</f>
        <v>0</v>
      </c>
      <c r="F109" s="44">
        <f>'Data Sheet'!G109</f>
        <v>2</v>
      </c>
      <c r="G109" s="44">
        <f>'Data Sheet'!H109</f>
        <v>4</v>
      </c>
      <c r="H109" s="44">
        <f>'Data Sheet'!I109</f>
        <v>0</v>
      </c>
      <c r="I109" s="44">
        <f>'Data Sheet'!J109</f>
        <v>0</v>
      </c>
      <c r="J109" s="44">
        <f>'Data Sheet'!K109</f>
        <v>0</v>
      </c>
      <c r="K109" s="44">
        <f>'Data Sheet'!L109</f>
        <v>0</v>
      </c>
      <c r="L109" s="44">
        <f>'Data Sheet'!M109</f>
        <v>0</v>
      </c>
      <c r="M109" s="5"/>
      <c r="N109" s="44">
        <f>'Data Sheet'!O109</f>
        <v>0</v>
      </c>
      <c r="O109" s="44">
        <f>'Data Sheet'!P109</f>
        <v>0</v>
      </c>
      <c r="P109" s="44">
        <f>'Data Sheet'!Q109</f>
        <v>0</v>
      </c>
      <c r="Q109" s="44">
        <f>'Data Sheet'!R109</f>
        <v>0</v>
      </c>
      <c r="R109" s="44">
        <f>'Data Sheet'!S109</f>
        <v>0</v>
      </c>
      <c r="S109" s="44">
        <f>'Data Sheet'!T109</f>
        <v>0</v>
      </c>
      <c r="T109" s="44">
        <f>'Data Sheet'!U109</f>
        <v>0</v>
      </c>
      <c r="U109" s="44">
        <f>'Data Sheet'!V109</f>
        <v>0</v>
      </c>
      <c r="V109" s="5"/>
      <c r="W109" s="16" t="str">
        <f t="shared" si="12"/>
        <v/>
      </c>
      <c r="X109" s="10">
        <v>0</v>
      </c>
      <c r="Y109" s="11">
        <v>0</v>
      </c>
      <c r="Z109" s="11">
        <v>0</v>
      </c>
      <c r="AA109" s="11">
        <v>0</v>
      </c>
      <c r="AB109" s="11">
        <v>0</v>
      </c>
      <c r="AC109" s="11">
        <v>0</v>
      </c>
      <c r="AD109" s="11">
        <v>0</v>
      </c>
      <c r="AE109" s="12">
        <v>1</v>
      </c>
      <c r="AG109" s="45">
        <f t="shared" si="15"/>
        <v>1</v>
      </c>
      <c r="AH109" s="45">
        <f t="shared" si="13"/>
        <v>1</v>
      </c>
      <c r="AI109" s="45">
        <f t="shared" si="16"/>
        <v>0</v>
      </c>
      <c r="AJ109" s="45">
        <f t="shared" si="17"/>
        <v>0</v>
      </c>
      <c r="AK109" s="45">
        <f t="shared" si="14"/>
        <v>0</v>
      </c>
      <c r="AL109" s="1">
        <f t="shared" si="18"/>
        <v>0</v>
      </c>
      <c r="AM109" s="1">
        <f t="shared" si="19"/>
        <v>0</v>
      </c>
      <c r="AO109" s="45">
        <f t="shared" si="20"/>
        <v>0</v>
      </c>
      <c r="AP109" s="45">
        <f t="shared" si="21"/>
        <v>0</v>
      </c>
      <c r="AQ109" s="45">
        <f t="shared" si="22"/>
        <v>0</v>
      </c>
    </row>
    <row r="110" spans="1:43" ht="15" thickTop="1" thickBot="1" x14ac:dyDescent="0.5">
      <c r="A110" s="68" t="str">
        <f>IF(ISTEXT('Data Sheet'!B110),'Data Sheet'!B110&amp;" "&amp;'Data Sheet'!A110,"")</f>
        <v>JAYON RORIE-YOUNG</v>
      </c>
      <c r="B110" s="70">
        <f>'Data Sheet'!C110</f>
        <v>108</v>
      </c>
      <c r="C110" s="38"/>
      <c r="D110" s="44">
        <f>'Data Sheet'!E110</f>
        <v>1</v>
      </c>
      <c r="E110" s="44">
        <f>'Data Sheet'!F110</f>
        <v>1</v>
      </c>
      <c r="F110" s="44">
        <f>'Data Sheet'!G110</f>
        <v>2</v>
      </c>
      <c r="G110" s="44">
        <f>'Data Sheet'!H110</f>
        <v>3</v>
      </c>
      <c r="H110" s="44">
        <f>'Data Sheet'!I110</f>
        <v>0</v>
      </c>
      <c r="I110" s="44">
        <f>'Data Sheet'!J110</f>
        <v>0</v>
      </c>
      <c r="J110" s="44">
        <f>'Data Sheet'!K110</f>
        <v>0</v>
      </c>
      <c r="K110" s="44">
        <f>'Data Sheet'!L110</f>
        <v>0</v>
      </c>
      <c r="L110" s="44">
        <f>'Data Sheet'!M110</f>
        <v>0</v>
      </c>
      <c r="M110" s="5"/>
      <c r="N110" s="44">
        <f>'Data Sheet'!O110</f>
        <v>0</v>
      </c>
      <c r="O110" s="44">
        <f>'Data Sheet'!P110</f>
        <v>0</v>
      </c>
      <c r="P110" s="44">
        <f>'Data Sheet'!Q110</f>
        <v>0</v>
      </c>
      <c r="Q110" s="44">
        <f>'Data Sheet'!R110</f>
        <v>0</v>
      </c>
      <c r="R110" s="44">
        <f>'Data Sheet'!S110</f>
        <v>0</v>
      </c>
      <c r="S110" s="44">
        <f>'Data Sheet'!T110</f>
        <v>0</v>
      </c>
      <c r="T110" s="44">
        <f>'Data Sheet'!U110</f>
        <v>0</v>
      </c>
      <c r="U110" s="44">
        <f>'Data Sheet'!V110</f>
        <v>0</v>
      </c>
      <c r="V110" s="5"/>
      <c r="W110" s="16" t="str">
        <f t="shared" si="12"/>
        <v/>
      </c>
      <c r="X110" s="10">
        <v>0</v>
      </c>
      <c r="Y110" s="11">
        <v>0</v>
      </c>
      <c r="Z110" s="11">
        <v>0</v>
      </c>
      <c r="AA110" s="11">
        <v>0</v>
      </c>
      <c r="AB110" s="11">
        <v>1</v>
      </c>
      <c r="AC110" s="11">
        <v>0</v>
      </c>
      <c r="AD110" s="11">
        <v>0</v>
      </c>
      <c r="AE110" s="12">
        <v>0</v>
      </c>
      <c r="AG110" s="45">
        <f t="shared" si="15"/>
        <v>1</v>
      </c>
      <c r="AH110" s="45">
        <f t="shared" si="13"/>
        <v>1</v>
      </c>
      <c r="AI110" s="45">
        <f t="shared" si="16"/>
        <v>0</v>
      </c>
      <c r="AJ110" s="45">
        <f t="shared" si="17"/>
        <v>0</v>
      </c>
      <c r="AK110" s="45">
        <f t="shared" si="14"/>
        <v>0</v>
      </c>
      <c r="AL110" s="1">
        <f t="shared" si="18"/>
        <v>0</v>
      </c>
      <c r="AM110" s="1">
        <f t="shared" si="19"/>
        <v>0</v>
      </c>
      <c r="AO110" s="45">
        <f t="shared" si="20"/>
        <v>0</v>
      </c>
      <c r="AP110" s="45">
        <f t="shared" si="21"/>
        <v>0</v>
      </c>
      <c r="AQ110" s="45">
        <f t="shared" si="22"/>
        <v>0</v>
      </c>
    </row>
    <row r="111" spans="1:43" ht="15" thickTop="1" thickBot="1" x14ac:dyDescent="0.5">
      <c r="A111" s="68" t="str">
        <f>IF(ISTEXT('Data Sheet'!B111),'Data Sheet'!B111&amp;" "&amp;'Data Sheet'!A111,"")</f>
        <v>TERRELL SMALLS</v>
      </c>
      <c r="B111" s="70">
        <f>'Data Sheet'!C111</f>
        <v>109</v>
      </c>
      <c r="C111" s="38"/>
      <c r="D111" s="44">
        <f>'Data Sheet'!E111</f>
        <v>1</v>
      </c>
      <c r="E111" s="44">
        <f>'Data Sheet'!F111</f>
        <v>1</v>
      </c>
      <c r="F111" s="44">
        <f>'Data Sheet'!G111</f>
        <v>2</v>
      </c>
      <c r="G111" s="44">
        <f>'Data Sheet'!H111</f>
        <v>3</v>
      </c>
      <c r="H111" s="44">
        <f>'Data Sheet'!I111</f>
        <v>0</v>
      </c>
      <c r="I111" s="44">
        <f>'Data Sheet'!J111</f>
        <v>0</v>
      </c>
      <c r="J111" s="44">
        <f>'Data Sheet'!K111</f>
        <v>0</v>
      </c>
      <c r="K111" s="44">
        <f>'Data Sheet'!L111</f>
        <v>0</v>
      </c>
      <c r="L111" s="44">
        <f>'Data Sheet'!M111</f>
        <v>0</v>
      </c>
      <c r="M111" s="5"/>
      <c r="N111" s="44">
        <f>'Data Sheet'!O111</f>
        <v>0</v>
      </c>
      <c r="O111" s="44">
        <f>'Data Sheet'!P111</f>
        <v>0</v>
      </c>
      <c r="P111" s="44">
        <f>'Data Sheet'!Q111</f>
        <v>0</v>
      </c>
      <c r="Q111" s="44">
        <f>'Data Sheet'!R111</f>
        <v>0</v>
      </c>
      <c r="R111" s="44">
        <f>'Data Sheet'!S111</f>
        <v>0</v>
      </c>
      <c r="S111" s="44">
        <f>'Data Sheet'!T111</f>
        <v>0</v>
      </c>
      <c r="T111" s="44">
        <f>'Data Sheet'!U111</f>
        <v>0</v>
      </c>
      <c r="U111" s="44">
        <f>'Data Sheet'!V111</f>
        <v>0</v>
      </c>
      <c r="V111" s="5"/>
      <c r="W111" s="16" t="str">
        <f t="shared" si="12"/>
        <v/>
      </c>
      <c r="X111" s="10">
        <v>0</v>
      </c>
      <c r="Y111" s="11">
        <v>1</v>
      </c>
      <c r="Z111" s="11">
        <v>0</v>
      </c>
      <c r="AA111" s="11">
        <v>0</v>
      </c>
      <c r="AB111" s="11">
        <v>0</v>
      </c>
      <c r="AC111" s="11">
        <v>0</v>
      </c>
      <c r="AD111" s="11">
        <v>0</v>
      </c>
      <c r="AE111" s="12">
        <v>0</v>
      </c>
      <c r="AG111" s="45">
        <f t="shared" si="15"/>
        <v>1</v>
      </c>
      <c r="AH111" s="45">
        <f t="shared" si="13"/>
        <v>1</v>
      </c>
      <c r="AI111" s="45">
        <f t="shared" si="16"/>
        <v>0</v>
      </c>
      <c r="AJ111" s="45">
        <f t="shared" si="17"/>
        <v>0</v>
      </c>
      <c r="AK111" s="45">
        <f t="shared" si="14"/>
        <v>0</v>
      </c>
      <c r="AL111" s="1">
        <f t="shared" si="18"/>
        <v>0</v>
      </c>
      <c r="AM111" s="1">
        <f t="shared" si="19"/>
        <v>0</v>
      </c>
      <c r="AO111" s="45">
        <f t="shared" si="20"/>
        <v>0</v>
      </c>
      <c r="AP111" s="45">
        <f t="shared" si="21"/>
        <v>0</v>
      </c>
      <c r="AQ111" s="45">
        <f t="shared" si="22"/>
        <v>0</v>
      </c>
    </row>
    <row r="112" spans="1:43" ht="15" thickTop="1" thickBot="1" x14ac:dyDescent="0.5">
      <c r="A112" s="68" t="str">
        <f>IF(ISTEXT('Data Sheet'!B112),'Data Sheet'!B112&amp;" "&amp;'Data Sheet'!A112,"")</f>
        <v>KEYAIRA FLOYD</v>
      </c>
      <c r="B112" s="70">
        <f>'Data Sheet'!C112</f>
        <v>110</v>
      </c>
      <c r="C112" s="38"/>
      <c r="D112" s="44">
        <f>'Data Sheet'!E112</f>
        <v>0</v>
      </c>
      <c r="E112" s="44">
        <f>'Data Sheet'!F112</f>
        <v>1</v>
      </c>
      <c r="F112" s="44">
        <f>'Data Sheet'!G112</f>
        <v>2</v>
      </c>
      <c r="G112" s="44">
        <f>'Data Sheet'!H112</f>
        <v>4</v>
      </c>
      <c r="H112" s="44">
        <f>'Data Sheet'!I112</f>
        <v>0</v>
      </c>
      <c r="I112" s="44">
        <f>'Data Sheet'!J112</f>
        <v>0</v>
      </c>
      <c r="J112" s="44">
        <f>'Data Sheet'!K112</f>
        <v>0</v>
      </c>
      <c r="K112" s="44">
        <f>'Data Sheet'!L112</f>
        <v>0</v>
      </c>
      <c r="L112" s="44">
        <f>'Data Sheet'!M112</f>
        <v>0</v>
      </c>
      <c r="M112" s="5"/>
      <c r="N112" s="44">
        <f>'Data Sheet'!O112</f>
        <v>0</v>
      </c>
      <c r="O112" s="44">
        <f>'Data Sheet'!P112</f>
        <v>0</v>
      </c>
      <c r="P112" s="44">
        <f>'Data Sheet'!Q112</f>
        <v>0</v>
      </c>
      <c r="Q112" s="44">
        <f>'Data Sheet'!R112</f>
        <v>0</v>
      </c>
      <c r="R112" s="44">
        <f>'Data Sheet'!S112</f>
        <v>0</v>
      </c>
      <c r="S112" s="44">
        <f>'Data Sheet'!T112</f>
        <v>0</v>
      </c>
      <c r="T112" s="44">
        <f>'Data Sheet'!U112</f>
        <v>0</v>
      </c>
      <c r="U112" s="44">
        <f>'Data Sheet'!V112</f>
        <v>0</v>
      </c>
      <c r="V112" s="5"/>
      <c r="W112" s="16" t="str">
        <f t="shared" si="12"/>
        <v/>
      </c>
      <c r="X112" s="10">
        <v>0</v>
      </c>
      <c r="Y112" s="11">
        <v>0</v>
      </c>
      <c r="Z112" s="11">
        <v>0</v>
      </c>
      <c r="AA112" s="11">
        <v>0</v>
      </c>
      <c r="AB112" s="11">
        <v>0</v>
      </c>
      <c r="AC112" s="11">
        <v>1</v>
      </c>
      <c r="AD112" s="11">
        <v>0</v>
      </c>
      <c r="AE112" s="12">
        <v>0</v>
      </c>
      <c r="AG112" s="45">
        <f t="shared" si="15"/>
        <v>1</v>
      </c>
      <c r="AH112" s="45">
        <f t="shared" si="13"/>
        <v>1</v>
      </c>
      <c r="AI112" s="45">
        <f t="shared" si="16"/>
        <v>0</v>
      </c>
      <c r="AJ112" s="45">
        <f t="shared" si="17"/>
        <v>0</v>
      </c>
      <c r="AK112" s="45">
        <f t="shared" si="14"/>
        <v>0</v>
      </c>
      <c r="AL112" s="1">
        <f t="shared" si="18"/>
        <v>0</v>
      </c>
      <c r="AM112" s="1">
        <f t="shared" si="19"/>
        <v>0</v>
      </c>
      <c r="AO112" s="45">
        <f t="shared" si="20"/>
        <v>0</v>
      </c>
      <c r="AP112" s="45">
        <f t="shared" si="21"/>
        <v>0</v>
      </c>
      <c r="AQ112" s="45">
        <f t="shared" si="22"/>
        <v>0</v>
      </c>
    </row>
    <row r="113" spans="1:43" ht="15" thickTop="1" thickBot="1" x14ac:dyDescent="0.5">
      <c r="A113" s="68" t="str">
        <f>IF(ISTEXT('Data Sheet'!B113),'Data Sheet'!B113&amp;" "&amp;'Data Sheet'!A113,"")</f>
        <v>TRENTON HICKS</v>
      </c>
      <c r="B113" s="70">
        <f>'Data Sheet'!C113</f>
        <v>111</v>
      </c>
      <c r="C113" s="38"/>
      <c r="D113" s="44">
        <f>'Data Sheet'!E113</f>
        <v>1</v>
      </c>
      <c r="E113" s="44">
        <f>'Data Sheet'!F113</f>
        <v>0</v>
      </c>
      <c r="F113" s="44">
        <f>'Data Sheet'!G113</f>
        <v>2</v>
      </c>
      <c r="G113" s="44">
        <f>'Data Sheet'!H113</f>
        <v>2</v>
      </c>
      <c r="H113" s="44">
        <f>'Data Sheet'!I113</f>
        <v>1</v>
      </c>
      <c r="I113" s="44">
        <f>'Data Sheet'!J113</f>
        <v>1</v>
      </c>
      <c r="J113" s="44">
        <f>'Data Sheet'!K113</f>
        <v>0</v>
      </c>
      <c r="K113" s="44">
        <f>'Data Sheet'!L113</f>
        <v>0</v>
      </c>
      <c r="L113" s="44">
        <f>'Data Sheet'!M113</f>
        <v>0</v>
      </c>
      <c r="M113" s="5"/>
      <c r="N113" s="44">
        <f>'Data Sheet'!O113</f>
        <v>0</v>
      </c>
      <c r="O113" s="44">
        <f>'Data Sheet'!P113</f>
        <v>0</v>
      </c>
      <c r="P113" s="44">
        <f>'Data Sheet'!Q113</f>
        <v>0</v>
      </c>
      <c r="Q113" s="44">
        <f>'Data Sheet'!R113</f>
        <v>0</v>
      </c>
      <c r="R113" s="44">
        <f>'Data Sheet'!S113</f>
        <v>0</v>
      </c>
      <c r="S113" s="44">
        <f>'Data Sheet'!T113</f>
        <v>0</v>
      </c>
      <c r="T113" s="44">
        <f>'Data Sheet'!U113</f>
        <v>0</v>
      </c>
      <c r="U113" s="44">
        <f>'Data Sheet'!V113</f>
        <v>0</v>
      </c>
      <c r="V113" s="5"/>
      <c r="W113" s="16" t="str">
        <f t="shared" si="12"/>
        <v>IEP</v>
      </c>
      <c r="X113" s="10">
        <v>0</v>
      </c>
      <c r="Y113" s="11">
        <v>1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2">
        <v>0</v>
      </c>
      <c r="AG113" s="45">
        <f t="shared" si="15"/>
        <v>1</v>
      </c>
      <c r="AH113" s="45">
        <f t="shared" si="13"/>
        <v>1</v>
      </c>
      <c r="AI113" s="45">
        <f t="shared" si="16"/>
        <v>1</v>
      </c>
      <c r="AJ113" s="45">
        <f t="shared" si="17"/>
        <v>1</v>
      </c>
      <c r="AK113" s="45">
        <f t="shared" si="14"/>
        <v>0</v>
      </c>
      <c r="AL113" s="1">
        <f t="shared" si="18"/>
        <v>0</v>
      </c>
      <c r="AM113" s="1">
        <f t="shared" si="19"/>
        <v>0</v>
      </c>
      <c r="AO113" s="45">
        <f t="shared" si="20"/>
        <v>0</v>
      </c>
      <c r="AP113" s="45">
        <f t="shared" si="21"/>
        <v>0</v>
      </c>
      <c r="AQ113" s="45">
        <f t="shared" si="22"/>
        <v>0</v>
      </c>
    </row>
    <row r="114" spans="1:43" ht="15" thickTop="1" thickBot="1" x14ac:dyDescent="0.5">
      <c r="A114" s="68" t="str">
        <f>IF(ISTEXT('Data Sheet'!B114),'Data Sheet'!B114&amp;" "&amp;'Data Sheet'!A114,"")</f>
        <v>LEILA KOCH</v>
      </c>
      <c r="B114" s="70">
        <f>'Data Sheet'!C114</f>
        <v>112</v>
      </c>
      <c r="C114" s="38"/>
      <c r="D114" s="44">
        <f>'Data Sheet'!E114</f>
        <v>0</v>
      </c>
      <c r="E114" s="44">
        <f>'Data Sheet'!F114</f>
        <v>0</v>
      </c>
      <c r="F114" s="44">
        <f>'Data Sheet'!G114</f>
        <v>2</v>
      </c>
      <c r="G114" s="44">
        <f>'Data Sheet'!H114</f>
        <v>4</v>
      </c>
      <c r="H114" s="44">
        <f>'Data Sheet'!I114</f>
        <v>0</v>
      </c>
      <c r="I114" s="44">
        <f>'Data Sheet'!J114</f>
        <v>0</v>
      </c>
      <c r="J114" s="44">
        <f>'Data Sheet'!K114</f>
        <v>0</v>
      </c>
      <c r="K114" s="44">
        <f>'Data Sheet'!L114</f>
        <v>0</v>
      </c>
      <c r="L114" s="44">
        <f>'Data Sheet'!M114</f>
        <v>0</v>
      </c>
      <c r="M114" s="5"/>
      <c r="N114" s="44">
        <f>'Data Sheet'!O114</f>
        <v>0</v>
      </c>
      <c r="O114" s="44">
        <f>'Data Sheet'!P114</f>
        <v>0</v>
      </c>
      <c r="P114" s="44">
        <f>'Data Sheet'!Q114</f>
        <v>0</v>
      </c>
      <c r="Q114" s="44">
        <f>'Data Sheet'!R114</f>
        <v>0</v>
      </c>
      <c r="R114" s="44">
        <f>'Data Sheet'!S114</f>
        <v>0</v>
      </c>
      <c r="S114" s="44">
        <f>'Data Sheet'!T114</f>
        <v>0</v>
      </c>
      <c r="T114" s="44">
        <f>'Data Sheet'!U114</f>
        <v>0</v>
      </c>
      <c r="U114" s="44">
        <f>'Data Sheet'!V114</f>
        <v>0</v>
      </c>
      <c r="V114" s="5"/>
      <c r="W114" s="16" t="str">
        <f t="shared" si="12"/>
        <v/>
      </c>
      <c r="X114" s="10">
        <v>0</v>
      </c>
      <c r="Y114" s="11">
        <v>0</v>
      </c>
      <c r="Z114" s="11">
        <v>0</v>
      </c>
      <c r="AA114" s="11">
        <v>0</v>
      </c>
      <c r="AB114" s="11">
        <v>1</v>
      </c>
      <c r="AC114" s="11">
        <v>0</v>
      </c>
      <c r="AD114" s="11">
        <v>0</v>
      </c>
      <c r="AE114" s="12">
        <v>0</v>
      </c>
      <c r="AG114" s="45">
        <f t="shared" si="15"/>
        <v>1</v>
      </c>
      <c r="AH114" s="45">
        <f t="shared" si="13"/>
        <v>1</v>
      </c>
      <c r="AI114" s="45">
        <f t="shared" si="16"/>
        <v>0</v>
      </c>
      <c r="AJ114" s="45">
        <f t="shared" si="17"/>
        <v>0</v>
      </c>
      <c r="AK114" s="45">
        <f t="shared" si="14"/>
        <v>0</v>
      </c>
      <c r="AL114" s="1">
        <f t="shared" si="18"/>
        <v>0</v>
      </c>
      <c r="AM114" s="1">
        <f t="shared" si="19"/>
        <v>0</v>
      </c>
      <c r="AO114" s="45">
        <f t="shared" si="20"/>
        <v>0</v>
      </c>
      <c r="AP114" s="45">
        <f t="shared" si="21"/>
        <v>0</v>
      </c>
      <c r="AQ114" s="45">
        <f t="shared" si="22"/>
        <v>0</v>
      </c>
    </row>
    <row r="115" spans="1:43" ht="15" thickTop="1" thickBot="1" x14ac:dyDescent="0.5">
      <c r="A115" s="68" t="str">
        <f>IF(ISTEXT('Data Sheet'!B115),'Data Sheet'!B115&amp;" "&amp;'Data Sheet'!A115,"")</f>
        <v>ZYKEAM YARBOROUGH</v>
      </c>
      <c r="B115" s="70">
        <f>'Data Sheet'!C115</f>
        <v>113</v>
      </c>
      <c r="C115" s="38"/>
      <c r="D115" s="44">
        <f>'Data Sheet'!E115</f>
        <v>1</v>
      </c>
      <c r="E115" s="44">
        <f>'Data Sheet'!F115</f>
        <v>1</v>
      </c>
      <c r="F115" s="44">
        <f>'Data Sheet'!G115</f>
        <v>2</v>
      </c>
      <c r="G115" s="44">
        <f>'Data Sheet'!H115</f>
        <v>3</v>
      </c>
      <c r="H115" s="44">
        <f>'Data Sheet'!I115</f>
        <v>0</v>
      </c>
      <c r="I115" s="44">
        <f>'Data Sheet'!J115</f>
        <v>0</v>
      </c>
      <c r="J115" s="44">
        <f>'Data Sheet'!K115</f>
        <v>0</v>
      </c>
      <c r="K115" s="44">
        <f>'Data Sheet'!L115</f>
        <v>0</v>
      </c>
      <c r="L115" s="44">
        <f>'Data Sheet'!M115</f>
        <v>0</v>
      </c>
      <c r="M115" s="5"/>
      <c r="N115" s="44">
        <f>'Data Sheet'!O115</f>
        <v>0</v>
      </c>
      <c r="O115" s="44">
        <f>'Data Sheet'!P115</f>
        <v>0</v>
      </c>
      <c r="P115" s="44">
        <f>'Data Sheet'!Q115</f>
        <v>0</v>
      </c>
      <c r="Q115" s="44">
        <f>'Data Sheet'!R115</f>
        <v>0</v>
      </c>
      <c r="R115" s="44">
        <f>'Data Sheet'!S115</f>
        <v>0</v>
      </c>
      <c r="S115" s="44">
        <f>'Data Sheet'!T115</f>
        <v>0</v>
      </c>
      <c r="T115" s="44">
        <f>'Data Sheet'!U115</f>
        <v>0</v>
      </c>
      <c r="U115" s="44">
        <f>'Data Sheet'!V115</f>
        <v>0</v>
      </c>
      <c r="V115" s="5"/>
      <c r="W115" s="16" t="str">
        <f t="shared" si="12"/>
        <v/>
      </c>
      <c r="X115" s="10">
        <v>0</v>
      </c>
      <c r="Y115" s="11">
        <v>0</v>
      </c>
      <c r="Z115" s="11">
        <v>1</v>
      </c>
      <c r="AA115" s="11">
        <v>0</v>
      </c>
      <c r="AB115" s="11">
        <v>0</v>
      </c>
      <c r="AC115" s="11">
        <v>0</v>
      </c>
      <c r="AD115" s="11">
        <v>0</v>
      </c>
      <c r="AE115" s="12">
        <v>0</v>
      </c>
      <c r="AG115" s="45">
        <f t="shared" si="15"/>
        <v>1</v>
      </c>
      <c r="AH115" s="45">
        <f t="shared" si="13"/>
        <v>1</v>
      </c>
      <c r="AI115" s="45">
        <f t="shared" si="16"/>
        <v>0</v>
      </c>
      <c r="AJ115" s="45">
        <f t="shared" si="17"/>
        <v>0</v>
      </c>
      <c r="AK115" s="45">
        <f t="shared" si="14"/>
        <v>0</v>
      </c>
      <c r="AL115" s="1">
        <f t="shared" si="18"/>
        <v>0</v>
      </c>
      <c r="AM115" s="1">
        <f t="shared" si="19"/>
        <v>0</v>
      </c>
      <c r="AO115" s="45">
        <f t="shared" si="20"/>
        <v>0</v>
      </c>
      <c r="AP115" s="45">
        <f t="shared" si="21"/>
        <v>0</v>
      </c>
      <c r="AQ115" s="45">
        <f t="shared" si="22"/>
        <v>0</v>
      </c>
    </row>
    <row r="116" spans="1:43" ht="15" thickTop="1" thickBot="1" x14ac:dyDescent="0.5">
      <c r="A116" s="68" t="str">
        <f>IF(ISTEXT('Data Sheet'!B116),'Data Sheet'!B116&amp;" "&amp;'Data Sheet'!A116,"")</f>
        <v>LASHYA GRIFFIN</v>
      </c>
      <c r="B116" s="70">
        <f>'Data Sheet'!C116</f>
        <v>114</v>
      </c>
      <c r="C116" s="38"/>
      <c r="D116" s="44">
        <f>'Data Sheet'!E116</f>
        <v>0</v>
      </c>
      <c r="E116" s="44">
        <f>'Data Sheet'!F116</f>
        <v>1</v>
      </c>
      <c r="F116" s="44">
        <f>'Data Sheet'!G116</f>
        <v>2</v>
      </c>
      <c r="G116" s="44">
        <f>'Data Sheet'!H116</f>
        <v>3</v>
      </c>
      <c r="H116" s="44">
        <f>'Data Sheet'!I116</f>
        <v>0</v>
      </c>
      <c r="I116" s="44">
        <f>'Data Sheet'!J116</f>
        <v>0</v>
      </c>
      <c r="J116" s="44">
        <f>'Data Sheet'!K116</f>
        <v>0</v>
      </c>
      <c r="K116" s="44">
        <f>'Data Sheet'!L116</f>
        <v>0</v>
      </c>
      <c r="L116" s="44">
        <f>'Data Sheet'!M116</f>
        <v>0</v>
      </c>
      <c r="M116" s="5"/>
      <c r="N116" s="44">
        <f>'Data Sheet'!O116</f>
        <v>0</v>
      </c>
      <c r="O116" s="44">
        <f>'Data Sheet'!P116</f>
        <v>0</v>
      </c>
      <c r="P116" s="44">
        <f>'Data Sheet'!Q116</f>
        <v>0</v>
      </c>
      <c r="Q116" s="44">
        <f>'Data Sheet'!R116</f>
        <v>0</v>
      </c>
      <c r="R116" s="44">
        <f>'Data Sheet'!S116</f>
        <v>0</v>
      </c>
      <c r="S116" s="44">
        <f>'Data Sheet'!T116</f>
        <v>0</v>
      </c>
      <c r="T116" s="44">
        <f>'Data Sheet'!U116</f>
        <v>0</v>
      </c>
      <c r="U116" s="44">
        <f>'Data Sheet'!V116</f>
        <v>0</v>
      </c>
      <c r="V116" s="5"/>
      <c r="W116" s="16" t="str">
        <f t="shared" si="12"/>
        <v/>
      </c>
      <c r="X116" s="10">
        <v>0</v>
      </c>
      <c r="Y116" s="11">
        <v>0</v>
      </c>
      <c r="Z116" s="11">
        <v>0</v>
      </c>
      <c r="AA116" s="11">
        <v>1</v>
      </c>
      <c r="AB116" s="11">
        <v>0</v>
      </c>
      <c r="AC116" s="11">
        <v>0</v>
      </c>
      <c r="AD116" s="11">
        <v>0</v>
      </c>
      <c r="AE116" s="12">
        <v>0</v>
      </c>
      <c r="AG116" s="45">
        <f t="shared" si="15"/>
        <v>1</v>
      </c>
      <c r="AH116" s="45">
        <f t="shared" si="13"/>
        <v>1</v>
      </c>
      <c r="AI116" s="45">
        <f t="shared" si="16"/>
        <v>0</v>
      </c>
      <c r="AJ116" s="45">
        <f t="shared" si="17"/>
        <v>0</v>
      </c>
      <c r="AK116" s="45">
        <f t="shared" si="14"/>
        <v>0</v>
      </c>
      <c r="AL116" s="1">
        <f t="shared" si="18"/>
        <v>0</v>
      </c>
      <c r="AM116" s="1">
        <f t="shared" si="19"/>
        <v>0</v>
      </c>
      <c r="AO116" s="45">
        <f t="shared" si="20"/>
        <v>0</v>
      </c>
      <c r="AP116" s="45">
        <f t="shared" si="21"/>
        <v>0</v>
      </c>
      <c r="AQ116" s="45">
        <f t="shared" si="22"/>
        <v>0</v>
      </c>
    </row>
    <row r="117" spans="1:43" ht="15" thickTop="1" thickBot="1" x14ac:dyDescent="0.5">
      <c r="A117" s="68" t="str">
        <f>IF(ISTEXT('Data Sheet'!B117),'Data Sheet'!B117&amp;" "&amp;'Data Sheet'!A117,"")</f>
        <v>NAJEER HAINEY</v>
      </c>
      <c r="B117" s="70">
        <f>'Data Sheet'!C117</f>
        <v>115</v>
      </c>
      <c r="C117" s="38"/>
      <c r="D117" s="44">
        <f>'Data Sheet'!E117</f>
        <v>1</v>
      </c>
      <c r="E117" s="44">
        <f>'Data Sheet'!F117</f>
        <v>1</v>
      </c>
      <c r="F117" s="44">
        <f>'Data Sheet'!G117</f>
        <v>2</v>
      </c>
      <c r="G117" s="44">
        <f>'Data Sheet'!H117</f>
        <v>3</v>
      </c>
      <c r="H117" s="44">
        <f>'Data Sheet'!I117</f>
        <v>0</v>
      </c>
      <c r="I117" s="44">
        <f>'Data Sheet'!J117</f>
        <v>1</v>
      </c>
      <c r="J117" s="44">
        <f>'Data Sheet'!K117</f>
        <v>0</v>
      </c>
      <c r="K117" s="44">
        <f>'Data Sheet'!L117</f>
        <v>0</v>
      </c>
      <c r="L117" s="44">
        <f>'Data Sheet'!M117</f>
        <v>0</v>
      </c>
      <c r="M117" s="5"/>
      <c r="N117" s="44">
        <f>'Data Sheet'!O117</f>
        <v>0</v>
      </c>
      <c r="O117" s="44">
        <f>'Data Sheet'!P117</f>
        <v>0</v>
      </c>
      <c r="P117" s="44">
        <f>'Data Sheet'!Q117</f>
        <v>0</v>
      </c>
      <c r="Q117" s="44">
        <f>'Data Sheet'!R117</f>
        <v>0</v>
      </c>
      <c r="R117" s="44">
        <f>'Data Sheet'!S117</f>
        <v>0</v>
      </c>
      <c r="S117" s="44">
        <f>'Data Sheet'!T117</f>
        <v>1</v>
      </c>
      <c r="T117" s="44">
        <f>'Data Sheet'!U117</f>
        <v>0</v>
      </c>
      <c r="U117" s="44">
        <f>'Data Sheet'!V117</f>
        <v>0</v>
      </c>
      <c r="V117" s="5"/>
      <c r="W117" s="16" t="str">
        <f t="shared" si="12"/>
        <v>IEP</v>
      </c>
      <c r="X117" s="10">
        <v>0</v>
      </c>
      <c r="Y117" s="11">
        <v>0</v>
      </c>
      <c r="Z117" s="11">
        <v>0</v>
      </c>
      <c r="AA117" s="11">
        <v>0</v>
      </c>
      <c r="AB117" s="11">
        <v>0</v>
      </c>
      <c r="AC117" s="11">
        <v>1</v>
      </c>
      <c r="AD117" s="11">
        <v>0</v>
      </c>
      <c r="AE117" s="12">
        <v>0</v>
      </c>
      <c r="AG117" s="45">
        <f t="shared" si="15"/>
        <v>1</v>
      </c>
      <c r="AH117" s="45">
        <f t="shared" si="13"/>
        <v>1</v>
      </c>
      <c r="AI117" s="45">
        <f t="shared" si="16"/>
        <v>1</v>
      </c>
      <c r="AJ117" s="45">
        <f t="shared" si="17"/>
        <v>1</v>
      </c>
      <c r="AK117" s="45">
        <f t="shared" si="14"/>
        <v>1</v>
      </c>
      <c r="AL117" s="1">
        <f t="shared" si="18"/>
        <v>1</v>
      </c>
      <c r="AM117" s="1">
        <f t="shared" si="19"/>
        <v>0</v>
      </c>
      <c r="AO117" s="45">
        <f t="shared" si="20"/>
        <v>1</v>
      </c>
      <c r="AP117" s="45">
        <f t="shared" si="21"/>
        <v>1</v>
      </c>
      <c r="AQ117" s="45">
        <f t="shared" si="22"/>
        <v>0</v>
      </c>
    </row>
    <row r="118" spans="1:43" ht="15" thickTop="1" thickBot="1" x14ac:dyDescent="0.5">
      <c r="A118" s="68" t="str">
        <f>IF(ISTEXT('Data Sheet'!B118),'Data Sheet'!B118&amp;" "&amp;'Data Sheet'!A118,"")</f>
        <v>GREG HARVEY</v>
      </c>
      <c r="B118" s="70">
        <f>'Data Sheet'!C118</f>
        <v>116</v>
      </c>
      <c r="C118" s="38"/>
      <c r="D118" s="44">
        <f>'Data Sheet'!E118</f>
        <v>1</v>
      </c>
      <c r="E118" s="44">
        <f>'Data Sheet'!F118</f>
        <v>0</v>
      </c>
      <c r="F118" s="44">
        <f>'Data Sheet'!G118</f>
        <v>2</v>
      </c>
      <c r="G118" s="44">
        <f>'Data Sheet'!H118</f>
        <v>4</v>
      </c>
      <c r="H118" s="44">
        <f>'Data Sheet'!I118</f>
        <v>0</v>
      </c>
      <c r="I118" s="44">
        <f>'Data Sheet'!J118</f>
        <v>1</v>
      </c>
      <c r="J118" s="44">
        <f>'Data Sheet'!K118</f>
        <v>0</v>
      </c>
      <c r="K118" s="44">
        <f>'Data Sheet'!L118</f>
        <v>0</v>
      </c>
      <c r="L118" s="44">
        <f>'Data Sheet'!M118</f>
        <v>0</v>
      </c>
      <c r="M118" s="5"/>
      <c r="N118" s="44">
        <f>'Data Sheet'!O118</f>
        <v>0</v>
      </c>
      <c r="O118" s="44">
        <f>'Data Sheet'!P118</f>
        <v>0</v>
      </c>
      <c r="P118" s="44">
        <f>'Data Sheet'!Q118</f>
        <v>0</v>
      </c>
      <c r="Q118" s="44">
        <f>'Data Sheet'!R118</f>
        <v>0</v>
      </c>
      <c r="R118" s="44">
        <f>'Data Sheet'!S118</f>
        <v>0</v>
      </c>
      <c r="S118" s="44">
        <f>'Data Sheet'!T118</f>
        <v>1</v>
      </c>
      <c r="T118" s="44">
        <f>'Data Sheet'!U118</f>
        <v>0</v>
      </c>
      <c r="U118" s="44">
        <f>'Data Sheet'!V118</f>
        <v>0</v>
      </c>
      <c r="V118" s="5"/>
      <c r="W118" s="16" t="str">
        <f t="shared" si="12"/>
        <v>IEP</v>
      </c>
      <c r="X118" s="10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1</v>
      </c>
      <c r="AD118" s="11">
        <v>0</v>
      </c>
      <c r="AE118" s="12">
        <v>0</v>
      </c>
      <c r="AG118" s="45">
        <f t="shared" si="15"/>
        <v>1</v>
      </c>
      <c r="AH118" s="45">
        <f t="shared" si="13"/>
        <v>1</v>
      </c>
      <c r="AI118" s="45">
        <f t="shared" si="16"/>
        <v>1</v>
      </c>
      <c r="AJ118" s="45">
        <f t="shared" si="17"/>
        <v>1</v>
      </c>
      <c r="AK118" s="45">
        <f t="shared" si="14"/>
        <v>1</v>
      </c>
      <c r="AL118" s="1">
        <f t="shared" si="18"/>
        <v>1</v>
      </c>
      <c r="AM118" s="1">
        <f t="shared" si="19"/>
        <v>0</v>
      </c>
      <c r="AO118" s="45">
        <f t="shared" si="20"/>
        <v>1</v>
      </c>
      <c r="AP118" s="45">
        <f t="shared" si="21"/>
        <v>1</v>
      </c>
      <c r="AQ118" s="45">
        <f t="shared" si="22"/>
        <v>0</v>
      </c>
    </row>
    <row r="119" spans="1:43" ht="15" thickTop="1" thickBot="1" x14ac:dyDescent="0.5">
      <c r="A119" s="68" t="str">
        <f>IF(ISTEXT('Data Sheet'!B119),'Data Sheet'!B119&amp;" "&amp;'Data Sheet'!A119,"")</f>
        <v>AVA HOFFMAN</v>
      </c>
      <c r="B119" s="70">
        <f>'Data Sheet'!C119</f>
        <v>117</v>
      </c>
      <c r="C119" s="38"/>
      <c r="D119" s="44">
        <f>'Data Sheet'!E119</f>
        <v>0</v>
      </c>
      <c r="E119" s="44">
        <f>'Data Sheet'!F119</f>
        <v>0</v>
      </c>
      <c r="F119" s="44">
        <f>'Data Sheet'!G119</f>
        <v>2</v>
      </c>
      <c r="G119" s="44">
        <f>'Data Sheet'!H119</f>
        <v>3</v>
      </c>
      <c r="H119" s="44">
        <f>'Data Sheet'!I119</f>
        <v>0</v>
      </c>
      <c r="I119" s="44">
        <f>'Data Sheet'!J119</f>
        <v>0</v>
      </c>
      <c r="J119" s="44">
        <f>'Data Sheet'!K119</f>
        <v>0</v>
      </c>
      <c r="K119" s="44">
        <f>'Data Sheet'!L119</f>
        <v>0</v>
      </c>
      <c r="L119" s="44">
        <f>'Data Sheet'!M119</f>
        <v>0</v>
      </c>
      <c r="M119" s="5"/>
      <c r="N119" s="44">
        <f>'Data Sheet'!O119</f>
        <v>0</v>
      </c>
      <c r="O119" s="44">
        <f>'Data Sheet'!P119</f>
        <v>0</v>
      </c>
      <c r="P119" s="44">
        <f>'Data Sheet'!Q119</f>
        <v>0</v>
      </c>
      <c r="Q119" s="44">
        <f>'Data Sheet'!R119</f>
        <v>0</v>
      </c>
      <c r="R119" s="44">
        <f>'Data Sheet'!S119</f>
        <v>0</v>
      </c>
      <c r="S119" s="44">
        <f>'Data Sheet'!T119</f>
        <v>0</v>
      </c>
      <c r="T119" s="44">
        <f>'Data Sheet'!U119</f>
        <v>0</v>
      </c>
      <c r="U119" s="44">
        <f>'Data Sheet'!V119</f>
        <v>0</v>
      </c>
      <c r="V119" s="5"/>
      <c r="W119" s="16" t="str">
        <f t="shared" si="12"/>
        <v/>
      </c>
      <c r="X119" s="10">
        <v>0</v>
      </c>
      <c r="Y119" s="11">
        <v>0</v>
      </c>
      <c r="Z119" s="11">
        <v>0</v>
      </c>
      <c r="AA119" s="11">
        <v>0</v>
      </c>
      <c r="AB119" s="11">
        <v>0</v>
      </c>
      <c r="AC119" s="11">
        <v>0</v>
      </c>
      <c r="AD119" s="11">
        <v>1</v>
      </c>
      <c r="AE119" s="12">
        <v>0</v>
      </c>
      <c r="AG119" s="45">
        <f t="shared" si="15"/>
        <v>1</v>
      </c>
      <c r="AH119" s="45">
        <f t="shared" si="13"/>
        <v>1</v>
      </c>
      <c r="AI119" s="45">
        <f t="shared" si="16"/>
        <v>0</v>
      </c>
      <c r="AJ119" s="45">
        <f t="shared" si="17"/>
        <v>0</v>
      </c>
      <c r="AK119" s="45">
        <f t="shared" si="14"/>
        <v>0</v>
      </c>
      <c r="AL119" s="1">
        <f t="shared" si="18"/>
        <v>0</v>
      </c>
      <c r="AM119" s="1">
        <f t="shared" si="19"/>
        <v>0</v>
      </c>
      <c r="AO119" s="45">
        <f t="shared" si="20"/>
        <v>0</v>
      </c>
      <c r="AP119" s="45">
        <f t="shared" si="21"/>
        <v>0</v>
      </c>
      <c r="AQ119" s="45">
        <f t="shared" si="22"/>
        <v>0</v>
      </c>
    </row>
    <row r="120" spans="1:43" ht="15" thickTop="1" thickBot="1" x14ac:dyDescent="0.5">
      <c r="A120" s="68" t="str">
        <f>IF(ISTEXT('Data Sheet'!B120),'Data Sheet'!B120&amp;" "&amp;'Data Sheet'!A120,"")</f>
        <v>AMIRIAH MEARES</v>
      </c>
      <c r="B120" s="70">
        <f>'Data Sheet'!C120</f>
        <v>118</v>
      </c>
      <c r="C120" s="38"/>
      <c r="D120" s="44">
        <f>'Data Sheet'!E120</f>
        <v>0</v>
      </c>
      <c r="E120" s="44">
        <f>'Data Sheet'!F120</f>
        <v>1</v>
      </c>
      <c r="F120" s="44">
        <f>'Data Sheet'!G120</f>
        <v>2</v>
      </c>
      <c r="G120" s="44">
        <f>'Data Sheet'!H120</f>
        <v>4</v>
      </c>
      <c r="H120" s="44">
        <f>'Data Sheet'!I120</f>
        <v>0</v>
      </c>
      <c r="I120" s="44">
        <f>'Data Sheet'!J120</f>
        <v>0</v>
      </c>
      <c r="J120" s="44">
        <f>'Data Sheet'!K120</f>
        <v>0</v>
      </c>
      <c r="K120" s="44">
        <f>'Data Sheet'!L120</f>
        <v>0</v>
      </c>
      <c r="L120" s="44">
        <f>'Data Sheet'!M120</f>
        <v>0</v>
      </c>
      <c r="M120" s="5"/>
      <c r="N120" s="44">
        <f>'Data Sheet'!O120</f>
        <v>0</v>
      </c>
      <c r="O120" s="44">
        <f>'Data Sheet'!P120</f>
        <v>0</v>
      </c>
      <c r="P120" s="44">
        <f>'Data Sheet'!Q120</f>
        <v>0</v>
      </c>
      <c r="Q120" s="44">
        <f>'Data Sheet'!R120</f>
        <v>0</v>
      </c>
      <c r="R120" s="44">
        <f>'Data Sheet'!S120</f>
        <v>0</v>
      </c>
      <c r="S120" s="44">
        <f>'Data Sheet'!T120</f>
        <v>0</v>
      </c>
      <c r="T120" s="44">
        <f>'Data Sheet'!U120</f>
        <v>0</v>
      </c>
      <c r="U120" s="44">
        <f>'Data Sheet'!V120</f>
        <v>0</v>
      </c>
      <c r="V120" s="5"/>
      <c r="W120" s="16" t="str">
        <f t="shared" si="12"/>
        <v/>
      </c>
      <c r="X120" s="10">
        <v>0</v>
      </c>
      <c r="Y120" s="11">
        <v>0</v>
      </c>
      <c r="Z120" s="11">
        <v>0</v>
      </c>
      <c r="AA120" s="11">
        <v>1</v>
      </c>
      <c r="AB120" s="11">
        <v>0</v>
      </c>
      <c r="AC120" s="11">
        <v>0</v>
      </c>
      <c r="AD120" s="11">
        <v>0</v>
      </c>
      <c r="AE120" s="12">
        <v>0</v>
      </c>
      <c r="AG120" s="45">
        <f t="shared" si="15"/>
        <v>1</v>
      </c>
      <c r="AH120" s="45">
        <f t="shared" si="13"/>
        <v>1</v>
      </c>
      <c r="AI120" s="45">
        <f t="shared" si="16"/>
        <v>0</v>
      </c>
      <c r="AJ120" s="45">
        <f t="shared" si="17"/>
        <v>0</v>
      </c>
      <c r="AK120" s="45">
        <f t="shared" si="14"/>
        <v>0</v>
      </c>
      <c r="AL120" s="1">
        <f t="shared" si="18"/>
        <v>0</v>
      </c>
      <c r="AM120" s="1">
        <f t="shared" si="19"/>
        <v>0</v>
      </c>
      <c r="AO120" s="45">
        <f t="shared" si="20"/>
        <v>0</v>
      </c>
      <c r="AP120" s="45">
        <f t="shared" si="21"/>
        <v>0</v>
      </c>
      <c r="AQ120" s="45">
        <f t="shared" si="22"/>
        <v>0</v>
      </c>
    </row>
    <row r="121" spans="1:43" ht="15" thickTop="1" thickBot="1" x14ac:dyDescent="0.5">
      <c r="A121" s="68" t="str">
        <f>IF(ISTEXT('Data Sheet'!B121),'Data Sheet'!B121&amp;" "&amp;'Data Sheet'!A121,"")</f>
        <v>IZIAH ROBINSON</v>
      </c>
      <c r="B121" s="70">
        <f>'Data Sheet'!C121</f>
        <v>119</v>
      </c>
      <c r="C121" s="38"/>
      <c r="D121" s="44">
        <f>'Data Sheet'!E121</f>
        <v>1</v>
      </c>
      <c r="E121" s="44">
        <f>'Data Sheet'!F121</f>
        <v>1</v>
      </c>
      <c r="F121" s="44">
        <f>'Data Sheet'!G121</f>
        <v>2</v>
      </c>
      <c r="G121" s="44">
        <f>'Data Sheet'!H121</f>
        <v>2</v>
      </c>
      <c r="H121" s="44">
        <f>'Data Sheet'!I121</f>
        <v>0</v>
      </c>
      <c r="I121" s="44">
        <f>'Data Sheet'!J121</f>
        <v>0</v>
      </c>
      <c r="J121" s="44">
        <f>'Data Sheet'!K121</f>
        <v>0</v>
      </c>
      <c r="K121" s="44">
        <f>'Data Sheet'!L121</f>
        <v>0</v>
      </c>
      <c r="L121" s="44">
        <f>'Data Sheet'!M121</f>
        <v>0</v>
      </c>
      <c r="M121" s="5"/>
      <c r="N121" s="44">
        <f>'Data Sheet'!O121</f>
        <v>0</v>
      </c>
      <c r="O121" s="44">
        <f>'Data Sheet'!P121</f>
        <v>0</v>
      </c>
      <c r="P121" s="44">
        <f>'Data Sheet'!Q121</f>
        <v>0</v>
      </c>
      <c r="Q121" s="44">
        <f>'Data Sheet'!R121</f>
        <v>0</v>
      </c>
      <c r="R121" s="44">
        <f>'Data Sheet'!S121</f>
        <v>0</v>
      </c>
      <c r="S121" s="44">
        <f>'Data Sheet'!T121</f>
        <v>0</v>
      </c>
      <c r="T121" s="44">
        <f>'Data Sheet'!U121</f>
        <v>0</v>
      </c>
      <c r="U121" s="44">
        <f>'Data Sheet'!V121</f>
        <v>0</v>
      </c>
      <c r="V121" s="5"/>
      <c r="W121" s="16" t="str">
        <f t="shared" si="12"/>
        <v/>
      </c>
      <c r="X121" s="10">
        <v>0</v>
      </c>
      <c r="Y121" s="11">
        <v>1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2">
        <v>0</v>
      </c>
      <c r="AG121" s="45">
        <f t="shared" si="15"/>
        <v>1</v>
      </c>
      <c r="AH121" s="45">
        <f t="shared" si="13"/>
        <v>1</v>
      </c>
      <c r="AI121" s="45">
        <f t="shared" si="16"/>
        <v>0</v>
      </c>
      <c r="AJ121" s="45">
        <f t="shared" si="17"/>
        <v>0</v>
      </c>
      <c r="AK121" s="45">
        <f t="shared" si="14"/>
        <v>0</v>
      </c>
      <c r="AL121" s="1">
        <f t="shared" si="18"/>
        <v>0</v>
      </c>
      <c r="AM121" s="1">
        <f t="shared" si="19"/>
        <v>0</v>
      </c>
      <c r="AO121" s="45">
        <f t="shared" si="20"/>
        <v>0</v>
      </c>
      <c r="AP121" s="45">
        <f t="shared" si="21"/>
        <v>0</v>
      </c>
      <c r="AQ121" s="45">
        <f t="shared" si="22"/>
        <v>0</v>
      </c>
    </row>
    <row r="122" spans="1:43" ht="15" thickTop="1" thickBot="1" x14ac:dyDescent="0.5">
      <c r="A122" s="68" t="str">
        <f>IF(ISTEXT('Data Sheet'!B122),'Data Sheet'!B122&amp;" "&amp;'Data Sheet'!A122,"")</f>
        <v>RALIE ROGERS</v>
      </c>
      <c r="B122" s="70">
        <f>'Data Sheet'!C122</f>
        <v>120</v>
      </c>
      <c r="C122" s="38"/>
      <c r="D122" s="44">
        <f>'Data Sheet'!E122</f>
        <v>0</v>
      </c>
      <c r="E122" s="44">
        <f>'Data Sheet'!F122</f>
        <v>0</v>
      </c>
      <c r="F122" s="44">
        <f>'Data Sheet'!G122</f>
        <v>2</v>
      </c>
      <c r="G122" s="44">
        <f>'Data Sheet'!H122</f>
        <v>2</v>
      </c>
      <c r="H122" s="44">
        <f>'Data Sheet'!I122</f>
        <v>1</v>
      </c>
      <c r="I122" s="44">
        <f>'Data Sheet'!J122</f>
        <v>0</v>
      </c>
      <c r="J122" s="44">
        <f>'Data Sheet'!K122</f>
        <v>0</v>
      </c>
      <c r="K122" s="44">
        <f>'Data Sheet'!L122</f>
        <v>0</v>
      </c>
      <c r="L122" s="44">
        <f>'Data Sheet'!M122</f>
        <v>0</v>
      </c>
      <c r="M122" s="5"/>
      <c r="N122" s="44">
        <f>'Data Sheet'!O122</f>
        <v>0</v>
      </c>
      <c r="O122" s="44">
        <f>'Data Sheet'!P122</f>
        <v>0</v>
      </c>
      <c r="P122" s="44">
        <f>'Data Sheet'!Q122</f>
        <v>0</v>
      </c>
      <c r="Q122" s="44">
        <f>'Data Sheet'!R122</f>
        <v>0</v>
      </c>
      <c r="R122" s="44">
        <f>'Data Sheet'!S122</f>
        <v>0</v>
      </c>
      <c r="S122" s="44">
        <f>'Data Sheet'!T122</f>
        <v>0</v>
      </c>
      <c r="T122" s="44">
        <f>'Data Sheet'!U122</f>
        <v>1</v>
      </c>
      <c r="U122" s="44">
        <f>'Data Sheet'!V122</f>
        <v>0</v>
      </c>
      <c r="V122" s="5"/>
      <c r="W122" s="16" t="str">
        <f t="shared" si="12"/>
        <v/>
      </c>
      <c r="X122" s="10">
        <v>0</v>
      </c>
      <c r="Y122" s="11">
        <v>0</v>
      </c>
      <c r="Z122" s="11">
        <v>0</v>
      </c>
      <c r="AA122" s="11">
        <v>0</v>
      </c>
      <c r="AB122" s="11">
        <v>0</v>
      </c>
      <c r="AC122" s="11">
        <v>0</v>
      </c>
      <c r="AD122" s="11">
        <v>1</v>
      </c>
      <c r="AE122" s="12">
        <v>0</v>
      </c>
      <c r="AG122" s="45">
        <f t="shared" si="15"/>
        <v>1</v>
      </c>
      <c r="AH122" s="45">
        <f t="shared" si="13"/>
        <v>1</v>
      </c>
      <c r="AI122" s="45">
        <f t="shared" si="16"/>
        <v>0</v>
      </c>
      <c r="AJ122" s="45">
        <f t="shared" si="17"/>
        <v>0</v>
      </c>
      <c r="AK122" s="45">
        <f t="shared" si="14"/>
        <v>1</v>
      </c>
      <c r="AL122" s="1">
        <f t="shared" si="18"/>
        <v>1</v>
      </c>
      <c r="AM122" s="1">
        <f t="shared" si="19"/>
        <v>0</v>
      </c>
      <c r="AO122" s="45">
        <f t="shared" si="20"/>
        <v>1</v>
      </c>
      <c r="AP122" s="45">
        <f t="shared" si="21"/>
        <v>1</v>
      </c>
      <c r="AQ122" s="45">
        <f t="shared" si="22"/>
        <v>0</v>
      </c>
    </row>
    <row r="123" spans="1:43" ht="15" thickTop="1" thickBot="1" x14ac:dyDescent="0.5">
      <c r="A123" s="68" t="str">
        <f>IF(ISTEXT('Data Sheet'!B123),'Data Sheet'!B123&amp;" "&amp;'Data Sheet'!A123,"")</f>
        <v>FRANCISKA SEYLER</v>
      </c>
      <c r="B123" s="70">
        <f>'Data Sheet'!C123</f>
        <v>121</v>
      </c>
      <c r="C123" s="38"/>
      <c r="D123" s="44">
        <f>'Data Sheet'!E123</f>
        <v>0</v>
      </c>
      <c r="E123" s="44">
        <f>'Data Sheet'!F123</f>
        <v>0</v>
      </c>
      <c r="F123" s="44">
        <f>'Data Sheet'!G123</f>
        <v>2</v>
      </c>
      <c r="G123" s="44">
        <f>'Data Sheet'!H123</f>
        <v>4</v>
      </c>
      <c r="H123" s="44">
        <f>'Data Sheet'!I123</f>
        <v>0</v>
      </c>
      <c r="I123" s="44">
        <f>'Data Sheet'!J123</f>
        <v>0</v>
      </c>
      <c r="J123" s="44">
        <f>'Data Sheet'!K123</f>
        <v>0</v>
      </c>
      <c r="K123" s="44">
        <f>'Data Sheet'!L123</f>
        <v>0</v>
      </c>
      <c r="L123" s="44">
        <f>'Data Sheet'!M123</f>
        <v>0</v>
      </c>
      <c r="M123" s="5"/>
      <c r="N123" s="44">
        <f>'Data Sheet'!O123</f>
        <v>0</v>
      </c>
      <c r="O123" s="44">
        <f>'Data Sheet'!P123</f>
        <v>0</v>
      </c>
      <c r="P123" s="44">
        <f>'Data Sheet'!Q123</f>
        <v>0</v>
      </c>
      <c r="Q123" s="44">
        <f>'Data Sheet'!R123</f>
        <v>0</v>
      </c>
      <c r="R123" s="44">
        <f>'Data Sheet'!S123</f>
        <v>0</v>
      </c>
      <c r="S123" s="44">
        <f>'Data Sheet'!T123</f>
        <v>0</v>
      </c>
      <c r="T123" s="44">
        <f>'Data Sheet'!U123</f>
        <v>0</v>
      </c>
      <c r="U123" s="44">
        <f>'Data Sheet'!V123</f>
        <v>0</v>
      </c>
      <c r="V123" s="5"/>
      <c r="W123" s="16" t="str">
        <f t="shared" si="12"/>
        <v/>
      </c>
      <c r="X123" s="10">
        <v>0</v>
      </c>
      <c r="Y123" s="11">
        <v>0</v>
      </c>
      <c r="Z123" s="11">
        <v>0</v>
      </c>
      <c r="AA123" s="11">
        <v>0</v>
      </c>
      <c r="AB123" s="11">
        <v>1</v>
      </c>
      <c r="AC123" s="11">
        <v>0</v>
      </c>
      <c r="AD123" s="11">
        <v>0</v>
      </c>
      <c r="AE123" s="12">
        <v>0</v>
      </c>
      <c r="AG123" s="45">
        <f t="shared" si="15"/>
        <v>1</v>
      </c>
      <c r="AH123" s="45">
        <f t="shared" si="13"/>
        <v>1</v>
      </c>
      <c r="AI123" s="45">
        <f t="shared" si="16"/>
        <v>0</v>
      </c>
      <c r="AJ123" s="45">
        <f t="shared" si="17"/>
        <v>0</v>
      </c>
      <c r="AK123" s="45">
        <f t="shared" si="14"/>
        <v>0</v>
      </c>
      <c r="AL123" s="1">
        <f t="shared" si="18"/>
        <v>0</v>
      </c>
      <c r="AM123" s="1">
        <f t="shared" si="19"/>
        <v>0</v>
      </c>
      <c r="AO123" s="45">
        <f t="shared" si="20"/>
        <v>0</v>
      </c>
      <c r="AP123" s="45">
        <f t="shared" si="21"/>
        <v>0</v>
      </c>
      <c r="AQ123" s="45">
        <f t="shared" si="22"/>
        <v>0</v>
      </c>
    </row>
    <row r="124" spans="1:43" ht="15" thickTop="1" thickBot="1" x14ac:dyDescent="0.5">
      <c r="A124" s="68" t="str">
        <f>IF(ISTEXT('Data Sheet'!B124),'Data Sheet'!B124&amp;" "&amp;'Data Sheet'!A124,"")</f>
        <v>TAYKEEMAH WOODS</v>
      </c>
      <c r="B124" s="70">
        <f>'Data Sheet'!C124</f>
        <v>122</v>
      </c>
      <c r="C124" s="38"/>
      <c r="D124" s="44">
        <f>'Data Sheet'!E124</f>
        <v>0</v>
      </c>
      <c r="E124" s="44">
        <f>'Data Sheet'!F124</f>
        <v>1</v>
      </c>
      <c r="F124" s="44">
        <f>'Data Sheet'!G124</f>
        <v>2</v>
      </c>
      <c r="G124" s="44">
        <f>'Data Sheet'!H124</f>
        <v>4</v>
      </c>
      <c r="H124" s="44">
        <f>'Data Sheet'!I124</f>
        <v>0</v>
      </c>
      <c r="I124" s="44">
        <f>'Data Sheet'!J124</f>
        <v>0</v>
      </c>
      <c r="J124" s="44">
        <f>'Data Sheet'!K124</f>
        <v>0</v>
      </c>
      <c r="K124" s="44">
        <f>'Data Sheet'!L124</f>
        <v>0</v>
      </c>
      <c r="L124" s="44">
        <f>'Data Sheet'!M124</f>
        <v>0</v>
      </c>
      <c r="M124" s="5"/>
      <c r="N124" s="44">
        <f>'Data Sheet'!O124</f>
        <v>0</v>
      </c>
      <c r="O124" s="44">
        <f>'Data Sheet'!P124</f>
        <v>0</v>
      </c>
      <c r="P124" s="44">
        <f>'Data Sheet'!Q124</f>
        <v>0</v>
      </c>
      <c r="Q124" s="44">
        <f>'Data Sheet'!R124</f>
        <v>0</v>
      </c>
      <c r="R124" s="44">
        <f>'Data Sheet'!S124</f>
        <v>0</v>
      </c>
      <c r="S124" s="44">
        <f>'Data Sheet'!T124</f>
        <v>0</v>
      </c>
      <c r="T124" s="44">
        <f>'Data Sheet'!U124</f>
        <v>0</v>
      </c>
      <c r="U124" s="44">
        <f>'Data Sheet'!V124</f>
        <v>0</v>
      </c>
      <c r="V124" s="5"/>
      <c r="W124" s="16" t="str">
        <f t="shared" si="12"/>
        <v/>
      </c>
      <c r="X124" s="10">
        <v>0</v>
      </c>
      <c r="Y124" s="11">
        <v>0</v>
      </c>
      <c r="Z124" s="11">
        <v>0</v>
      </c>
      <c r="AA124" s="11">
        <v>0</v>
      </c>
      <c r="AB124" s="11">
        <v>1</v>
      </c>
      <c r="AC124" s="11">
        <v>0</v>
      </c>
      <c r="AD124" s="11">
        <v>0</v>
      </c>
      <c r="AE124" s="12">
        <v>0</v>
      </c>
      <c r="AG124" s="45">
        <f t="shared" si="15"/>
        <v>1</v>
      </c>
      <c r="AH124" s="45">
        <f t="shared" si="13"/>
        <v>1</v>
      </c>
      <c r="AI124" s="45">
        <f t="shared" si="16"/>
        <v>0</v>
      </c>
      <c r="AJ124" s="45">
        <f t="shared" si="17"/>
        <v>0</v>
      </c>
      <c r="AK124" s="45">
        <f t="shared" si="14"/>
        <v>0</v>
      </c>
      <c r="AL124" s="1">
        <f t="shared" si="18"/>
        <v>0</v>
      </c>
      <c r="AM124" s="1">
        <f t="shared" si="19"/>
        <v>0</v>
      </c>
      <c r="AO124" s="45">
        <f t="shared" si="20"/>
        <v>0</v>
      </c>
      <c r="AP124" s="45">
        <f t="shared" si="21"/>
        <v>0</v>
      </c>
      <c r="AQ124" s="45">
        <f t="shared" si="22"/>
        <v>0</v>
      </c>
    </row>
    <row r="125" spans="1:43" ht="15" thickTop="1" thickBot="1" x14ac:dyDescent="0.5">
      <c r="A125" s="68" t="str">
        <f>IF(ISTEXT('Data Sheet'!B125),'Data Sheet'!B125&amp;" "&amp;'Data Sheet'!A125,"")</f>
        <v>PAYTON CONEY</v>
      </c>
      <c r="B125" s="70">
        <f>'Data Sheet'!C125</f>
        <v>123</v>
      </c>
      <c r="C125" s="38"/>
      <c r="D125" s="44">
        <f>'Data Sheet'!E125</f>
        <v>1</v>
      </c>
      <c r="E125" s="44">
        <f>'Data Sheet'!F125</f>
        <v>1</v>
      </c>
      <c r="F125" s="44">
        <f>'Data Sheet'!G125</f>
        <v>2</v>
      </c>
      <c r="G125" s="44">
        <f>'Data Sheet'!H125</f>
        <v>3</v>
      </c>
      <c r="H125" s="44">
        <f>'Data Sheet'!I125</f>
        <v>0</v>
      </c>
      <c r="I125" s="44">
        <f>'Data Sheet'!J125</f>
        <v>0</v>
      </c>
      <c r="J125" s="44">
        <f>'Data Sheet'!K125</f>
        <v>0</v>
      </c>
      <c r="K125" s="44">
        <f>'Data Sheet'!L125</f>
        <v>0</v>
      </c>
      <c r="L125" s="44">
        <f>'Data Sheet'!M125</f>
        <v>0</v>
      </c>
      <c r="M125" s="5"/>
      <c r="N125" s="44">
        <f>'Data Sheet'!O125</f>
        <v>0</v>
      </c>
      <c r="O125" s="44">
        <f>'Data Sheet'!P125</f>
        <v>0</v>
      </c>
      <c r="P125" s="44">
        <f>'Data Sheet'!Q125</f>
        <v>0</v>
      </c>
      <c r="Q125" s="44">
        <f>'Data Sheet'!R125</f>
        <v>0</v>
      </c>
      <c r="R125" s="44">
        <f>'Data Sheet'!S125</f>
        <v>0</v>
      </c>
      <c r="S125" s="44">
        <f>'Data Sheet'!T125</f>
        <v>0</v>
      </c>
      <c r="T125" s="44">
        <f>'Data Sheet'!U125</f>
        <v>0</v>
      </c>
      <c r="U125" s="44">
        <f>'Data Sheet'!V125</f>
        <v>0</v>
      </c>
      <c r="V125" s="5"/>
      <c r="W125" s="16" t="str">
        <f t="shared" si="12"/>
        <v/>
      </c>
      <c r="X125" s="10">
        <v>0</v>
      </c>
      <c r="Y125" s="11">
        <v>1</v>
      </c>
      <c r="Z125" s="11">
        <v>0</v>
      </c>
      <c r="AA125" s="11">
        <v>0</v>
      </c>
      <c r="AB125" s="11">
        <v>0</v>
      </c>
      <c r="AC125" s="11">
        <v>0</v>
      </c>
      <c r="AD125" s="11">
        <v>0</v>
      </c>
      <c r="AE125" s="12">
        <v>0</v>
      </c>
      <c r="AG125" s="45">
        <f t="shared" si="15"/>
        <v>1</v>
      </c>
      <c r="AH125" s="45">
        <f t="shared" si="13"/>
        <v>1</v>
      </c>
      <c r="AI125" s="45">
        <f t="shared" si="16"/>
        <v>0</v>
      </c>
      <c r="AJ125" s="45">
        <f t="shared" si="17"/>
        <v>0</v>
      </c>
      <c r="AK125" s="45">
        <f t="shared" si="14"/>
        <v>0</v>
      </c>
      <c r="AL125" s="1">
        <f t="shared" si="18"/>
        <v>0</v>
      </c>
      <c r="AM125" s="1">
        <f t="shared" si="19"/>
        <v>0</v>
      </c>
      <c r="AO125" s="45">
        <f t="shared" si="20"/>
        <v>0</v>
      </c>
      <c r="AP125" s="45">
        <f t="shared" si="21"/>
        <v>0</v>
      </c>
      <c r="AQ125" s="45">
        <f t="shared" si="22"/>
        <v>0</v>
      </c>
    </row>
    <row r="126" spans="1:43" ht="15" thickTop="1" thickBot="1" x14ac:dyDescent="0.5">
      <c r="A126" s="68" t="str">
        <f>IF(ISTEXT('Data Sheet'!B126),'Data Sheet'!B126&amp;" "&amp;'Data Sheet'!A126,"")</f>
        <v>DOMINIK CRUZ</v>
      </c>
      <c r="B126" s="70">
        <f>'Data Sheet'!C126</f>
        <v>124</v>
      </c>
      <c r="C126" s="38"/>
      <c r="D126" s="44">
        <f>'Data Sheet'!E126</f>
        <v>1</v>
      </c>
      <c r="E126" s="44">
        <f>'Data Sheet'!F126</f>
        <v>1</v>
      </c>
      <c r="F126" s="44">
        <f>'Data Sheet'!G126</f>
        <v>2</v>
      </c>
      <c r="G126" s="44">
        <f>'Data Sheet'!H126</f>
        <v>3</v>
      </c>
      <c r="H126" s="44">
        <f>'Data Sheet'!I126</f>
        <v>0</v>
      </c>
      <c r="I126" s="44">
        <f>'Data Sheet'!J126</f>
        <v>0</v>
      </c>
      <c r="J126" s="44">
        <f>'Data Sheet'!K126</f>
        <v>0</v>
      </c>
      <c r="K126" s="44">
        <f>'Data Sheet'!L126</f>
        <v>0</v>
      </c>
      <c r="L126" s="44">
        <f>'Data Sheet'!M126</f>
        <v>0</v>
      </c>
      <c r="M126" s="5"/>
      <c r="N126" s="44">
        <f>'Data Sheet'!O126</f>
        <v>0</v>
      </c>
      <c r="O126" s="44">
        <f>'Data Sheet'!P126</f>
        <v>0</v>
      </c>
      <c r="P126" s="44">
        <f>'Data Sheet'!Q126</f>
        <v>0</v>
      </c>
      <c r="Q126" s="44">
        <f>'Data Sheet'!R126</f>
        <v>0</v>
      </c>
      <c r="R126" s="44">
        <f>'Data Sheet'!S126</f>
        <v>0</v>
      </c>
      <c r="S126" s="44">
        <f>'Data Sheet'!T126</f>
        <v>0</v>
      </c>
      <c r="T126" s="44">
        <f>'Data Sheet'!U126</f>
        <v>0</v>
      </c>
      <c r="U126" s="44">
        <f>'Data Sheet'!V126</f>
        <v>0</v>
      </c>
      <c r="V126" s="5"/>
      <c r="W126" s="16" t="str">
        <f t="shared" si="12"/>
        <v/>
      </c>
      <c r="X126" s="10">
        <v>0</v>
      </c>
      <c r="Y126" s="11">
        <v>0</v>
      </c>
      <c r="Z126" s="11">
        <v>0</v>
      </c>
      <c r="AA126" s="11">
        <v>1</v>
      </c>
      <c r="AB126" s="11">
        <v>0</v>
      </c>
      <c r="AC126" s="11">
        <v>0</v>
      </c>
      <c r="AD126" s="11">
        <v>0</v>
      </c>
      <c r="AE126" s="12">
        <v>0</v>
      </c>
      <c r="AG126" s="45">
        <f t="shared" si="15"/>
        <v>1</v>
      </c>
      <c r="AH126" s="45">
        <f t="shared" si="13"/>
        <v>1</v>
      </c>
      <c r="AI126" s="45">
        <f t="shared" si="16"/>
        <v>0</v>
      </c>
      <c r="AJ126" s="45">
        <f t="shared" si="17"/>
        <v>0</v>
      </c>
      <c r="AK126" s="45">
        <f t="shared" si="14"/>
        <v>0</v>
      </c>
      <c r="AL126" s="1">
        <f t="shared" si="18"/>
        <v>0</v>
      </c>
      <c r="AM126" s="1">
        <f t="shared" si="19"/>
        <v>0</v>
      </c>
      <c r="AO126" s="45">
        <f t="shared" si="20"/>
        <v>0</v>
      </c>
      <c r="AP126" s="45">
        <f t="shared" si="21"/>
        <v>0</v>
      </c>
      <c r="AQ126" s="45">
        <f t="shared" si="22"/>
        <v>0</v>
      </c>
    </row>
    <row r="127" spans="1:43" ht="15" thickTop="1" thickBot="1" x14ac:dyDescent="0.5">
      <c r="A127" s="68" t="str">
        <f>IF(ISTEXT('Data Sheet'!B127),'Data Sheet'!B127&amp;" "&amp;'Data Sheet'!A127,"")</f>
        <v>MARAYA FINLEY</v>
      </c>
      <c r="B127" s="70">
        <f>'Data Sheet'!C127</f>
        <v>125</v>
      </c>
      <c r="C127" s="38"/>
      <c r="D127" s="44">
        <f>'Data Sheet'!E127</f>
        <v>0</v>
      </c>
      <c r="E127" s="44">
        <f>'Data Sheet'!F127</f>
        <v>0</v>
      </c>
      <c r="F127" s="44">
        <f>'Data Sheet'!G127</f>
        <v>2</v>
      </c>
      <c r="G127" s="44">
        <f>'Data Sheet'!H127</f>
        <v>4</v>
      </c>
      <c r="H127" s="44">
        <f>'Data Sheet'!I127</f>
        <v>0</v>
      </c>
      <c r="I127" s="44">
        <f>'Data Sheet'!J127</f>
        <v>1</v>
      </c>
      <c r="J127" s="44">
        <f>'Data Sheet'!K127</f>
        <v>0</v>
      </c>
      <c r="K127" s="44">
        <f>'Data Sheet'!L127</f>
        <v>0</v>
      </c>
      <c r="L127" s="44">
        <f>'Data Sheet'!M127</f>
        <v>0</v>
      </c>
      <c r="M127" s="5"/>
      <c r="N127" s="44">
        <f>'Data Sheet'!O127</f>
        <v>0</v>
      </c>
      <c r="O127" s="44">
        <f>'Data Sheet'!P127</f>
        <v>0</v>
      </c>
      <c r="P127" s="44">
        <f>'Data Sheet'!Q127</f>
        <v>1</v>
      </c>
      <c r="Q127" s="44">
        <f>'Data Sheet'!R127</f>
        <v>0</v>
      </c>
      <c r="R127" s="44">
        <f>'Data Sheet'!S127</f>
        <v>0</v>
      </c>
      <c r="S127" s="44">
        <f>'Data Sheet'!T127</f>
        <v>1</v>
      </c>
      <c r="T127" s="44">
        <f>'Data Sheet'!U127</f>
        <v>0</v>
      </c>
      <c r="U127" s="44">
        <f>'Data Sheet'!V127</f>
        <v>0</v>
      </c>
      <c r="V127" s="5"/>
      <c r="W127" s="16" t="str">
        <f t="shared" si="12"/>
        <v>IEP</v>
      </c>
      <c r="X127" s="10">
        <v>0</v>
      </c>
      <c r="Y127" s="11">
        <v>0</v>
      </c>
      <c r="Z127" s="11">
        <v>1</v>
      </c>
      <c r="AA127" s="11">
        <v>0</v>
      </c>
      <c r="AB127" s="11">
        <v>0</v>
      </c>
      <c r="AC127" s="11">
        <v>0</v>
      </c>
      <c r="AD127" s="11">
        <v>0</v>
      </c>
      <c r="AE127" s="12">
        <v>0</v>
      </c>
      <c r="AG127" s="45">
        <f t="shared" si="15"/>
        <v>1</v>
      </c>
      <c r="AH127" s="45">
        <f t="shared" si="13"/>
        <v>1</v>
      </c>
      <c r="AI127" s="45">
        <f t="shared" si="16"/>
        <v>1</v>
      </c>
      <c r="AJ127" s="45">
        <f t="shared" si="17"/>
        <v>1</v>
      </c>
      <c r="AK127" s="45">
        <f t="shared" si="14"/>
        <v>1</v>
      </c>
      <c r="AL127" s="1">
        <f t="shared" si="18"/>
        <v>1</v>
      </c>
      <c r="AM127" s="1">
        <f t="shared" si="19"/>
        <v>0</v>
      </c>
      <c r="AO127" s="45">
        <f t="shared" si="20"/>
        <v>1</v>
      </c>
      <c r="AP127" s="45">
        <f t="shared" si="21"/>
        <v>1</v>
      </c>
      <c r="AQ127" s="45">
        <f t="shared" si="22"/>
        <v>0</v>
      </c>
    </row>
    <row r="128" spans="1:43" ht="15" thickTop="1" thickBot="1" x14ac:dyDescent="0.5">
      <c r="A128" s="68" t="str">
        <f>IF(ISTEXT('Data Sheet'!B128),'Data Sheet'!B128&amp;" "&amp;'Data Sheet'!A128,"")</f>
        <v>CONNOR KIEFFER</v>
      </c>
      <c r="B128" s="70">
        <f>'Data Sheet'!C128</f>
        <v>126</v>
      </c>
      <c r="C128" s="38"/>
      <c r="D128" s="44">
        <f>'Data Sheet'!E128</f>
        <v>1</v>
      </c>
      <c r="E128" s="44">
        <f>'Data Sheet'!F128</f>
        <v>0</v>
      </c>
      <c r="F128" s="44">
        <f>'Data Sheet'!G128</f>
        <v>2</v>
      </c>
      <c r="G128" s="44">
        <f>'Data Sheet'!H128</f>
        <v>3</v>
      </c>
      <c r="H128" s="44">
        <f>'Data Sheet'!I128</f>
        <v>0</v>
      </c>
      <c r="I128" s="44">
        <f>'Data Sheet'!J128</f>
        <v>0</v>
      </c>
      <c r="J128" s="44">
        <f>'Data Sheet'!K128</f>
        <v>0</v>
      </c>
      <c r="K128" s="44">
        <f>'Data Sheet'!L128</f>
        <v>0</v>
      </c>
      <c r="L128" s="44">
        <f>'Data Sheet'!M128</f>
        <v>0</v>
      </c>
      <c r="M128" s="5"/>
      <c r="N128" s="44">
        <f>'Data Sheet'!O128</f>
        <v>0</v>
      </c>
      <c r="O128" s="44">
        <f>'Data Sheet'!P128</f>
        <v>0</v>
      </c>
      <c r="P128" s="44">
        <f>'Data Sheet'!Q128</f>
        <v>0</v>
      </c>
      <c r="Q128" s="44">
        <f>'Data Sheet'!R128</f>
        <v>0</v>
      </c>
      <c r="R128" s="44">
        <f>'Data Sheet'!S128</f>
        <v>0</v>
      </c>
      <c r="S128" s="44">
        <f>'Data Sheet'!T128</f>
        <v>0</v>
      </c>
      <c r="T128" s="44">
        <f>'Data Sheet'!U128</f>
        <v>0</v>
      </c>
      <c r="U128" s="44">
        <f>'Data Sheet'!V128</f>
        <v>0</v>
      </c>
      <c r="V128" s="5"/>
      <c r="W128" s="16" t="str">
        <f t="shared" si="12"/>
        <v/>
      </c>
      <c r="X128" s="10">
        <v>0</v>
      </c>
      <c r="Y128" s="11">
        <v>0</v>
      </c>
      <c r="Z128" s="11">
        <v>0</v>
      </c>
      <c r="AA128" s="11">
        <v>1</v>
      </c>
      <c r="AB128" s="11">
        <v>0</v>
      </c>
      <c r="AC128" s="11">
        <v>0</v>
      </c>
      <c r="AD128" s="11">
        <v>0</v>
      </c>
      <c r="AE128" s="12">
        <v>0</v>
      </c>
      <c r="AG128" s="45">
        <f t="shared" si="15"/>
        <v>1</v>
      </c>
      <c r="AH128" s="45">
        <f t="shared" si="13"/>
        <v>1</v>
      </c>
      <c r="AI128" s="45">
        <f t="shared" si="16"/>
        <v>0</v>
      </c>
      <c r="AJ128" s="45">
        <f t="shared" si="17"/>
        <v>0</v>
      </c>
      <c r="AK128" s="45">
        <f t="shared" si="14"/>
        <v>0</v>
      </c>
      <c r="AL128" s="1">
        <f t="shared" si="18"/>
        <v>0</v>
      </c>
      <c r="AM128" s="1">
        <f t="shared" si="19"/>
        <v>0</v>
      </c>
      <c r="AO128" s="45">
        <f t="shared" si="20"/>
        <v>0</v>
      </c>
      <c r="AP128" s="45">
        <f t="shared" si="21"/>
        <v>0</v>
      </c>
      <c r="AQ128" s="45">
        <f t="shared" si="22"/>
        <v>0</v>
      </c>
    </row>
    <row r="129" spans="1:43" ht="15" thickTop="1" thickBot="1" x14ac:dyDescent="0.5">
      <c r="A129" s="68" t="str">
        <f>IF(ISTEXT('Data Sheet'!B129),'Data Sheet'!B129&amp;" "&amp;'Data Sheet'!A129,"")</f>
        <v>ARES MARTIN</v>
      </c>
      <c r="B129" s="70">
        <f>'Data Sheet'!C129</f>
        <v>127</v>
      </c>
      <c r="C129" s="38"/>
      <c r="D129" s="44">
        <f>'Data Sheet'!E129</f>
        <v>1</v>
      </c>
      <c r="E129" s="44">
        <f>'Data Sheet'!F129</f>
        <v>0</v>
      </c>
      <c r="F129" s="44">
        <f>'Data Sheet'!G129</f>
        <v>2</v>
      </c>
      <c r="G129" s="44">
        <f>'Data Sheet'!H129</f>
        <v>2</v>
      </c>
      <c r="H129" s="44">
        <f>'Data Sheet'!I129</f>
        <v>1</v>
      </c>
      <c r="I129" s="44">
        <f>'Data Sheet'!J129</f>
        <v>0</v>
      </c>
      <c r="J129" s="44">
        <f>'Data Sheet'!K129</f>
        <v>0</v>
      </c>
      <c r="K129" s="44">
        <f>'Data Sheet'!L129</f>
        <v>0</v>
      </c>
      <c r="L129" s="44">
        <f>'Data Sheet'!M129</f>
        <v>0</v>
      </c>
      <c r="M129" s="5"/>
      <c r="N129" s="44">
        <f>'Data Sheet'!O129</f>
        <v>0</v>
      </c>
      <c r="O129" s="44">
        <f>'Data Sheet'!P129</f>
        <v>0</v>
      </c>
      <c r="P129" s="44">
        <f>'Data Sheet'!Q129</f>
        <v>0</v>
      </c>
      <c r="Q129" s="44">
        <f>'Data Sheet'!R129</f>
        <v>0</v>
      </c>
      <c r="R129" s="44">
        <f>'Data Sheet'!S129</f>
        <v>0</v>
      </c>
      <c r="S129" s="44">
        <f>'Data Sheet'!T129</f>
        <v>0</v>
      </c>
      <c r="T129" s="44">
        <f>'Data Sheet'!U129</f>
        <v>0</v>
      </c>
      <c r="U129" s="44">
        <f>'Data Sheet'!V129</f>
        <v>0</v>
      </c>
      <c r="V129" s="5"/>
      <c r="W129" s="16" t="str">
        <f t="shared" si="12"/>
        <v/>
      </c>
      <c r="X129" s="10">
        <v>0</v>
      </c>
      <c r="Y129" s="11">
        <v>0</v>
      </c>
      <c r="Z129" s="11">
        <v>0</v>
      </c>
      <c r="AA129" s="11">
        <v>0</v>
      </c>
      <c r="AB129" s="11">
        <v>0</v>
      </c>
      <c r="AC129" s="11">
        <v>0</v>
      </c>
      <c r="AD129" s="11">
        <v>0</v>
      </c>
      <c r="AE129" s="12">
        <v>1</v>
      </c>
      <c r="AG129" s="45">
        <f t="shared" si="15"/>
        <v>1</v>
      </c>
      <c r="AH129" s="45">
        <f t="shared" si="13"/>
        <v>1</v>
      </c>
      <c r="AI129" s="45">
        <f t="shared" si="16"/>
        <v>0</v>
      </c>
      <c r="AJ129" s="45">
        <f t="shared" si="17"/>
        <v>0</v>
      </c>
      <c r="AK129" s="45">
        <f t="shared" si="14"/>
        <v>0</v>
      </c>
      <c r="AL129" s="1">
        <f t="shared" si="18"/>
        <v>0</v>
      </c>
      <c r="AM129" s="1">
        <f t="shared" si="19"/>
        <v>0</v>
      </c>
      <c r="AO129" s="45">
        <f t="shared" si="20"/>
        <v>0</v>
      </c>
      <c r="AP129" s="45">
        <f t="shared" si="21"/>
        <v>0</v>
      </c>
      <c r="AQ129" s="45">
        <f t="shared" si="22"/>
        <v>0</v>
      </c>
    </row>
    <row r="130" spans="1:43" ht="15" thickTop="1" thickBot="1" x14ac:dyDescent="0.5">
      <c r="A130" s="68" t="str">
        <f>IF(ISTEXT('Data Sheet'!B130),'Data Sheet'!B130&amp;" "&amp;'Data Sheet'!A130,"")</f>
        <v>KELLY SHIRD</v>
      </c>
      <c r="B130" s="70">
        <f>'Data Sheet'!C130</f>
        <v>128</v>
      </c>
      <c r="C130" s="38"/>
      <c r="D130" s="44">
        <f>'Data Sheet'!E130</f>
        <v>1</v>
      </c>
      <c r="E130" s="44">
        <f>'Data Sheet'!F130</f>
        <v>1</v>
      </c>
      <c r="F130" s="44">
        <f>'Data Sheet'!G130</f>
        <v>2</v>
      </c>
      <c r="G130" s="44">
        <f>'Data Sheet'!H130</f>
        <v>3</v>
      </c>
      <c r="H130" s="44">
        <f>'Data Sheet'!I130</f>
        <v>0</v>
      </c>
      <c r="I130" s="44">
        <f>'Data Sheet'!J130</f>
        <v>0</v>
      </c>
      <c r="J130" s="44">
        <f>'Data Sheet'!K130</f>
        <v>0</v>
      </c>
      <c r="K130" s="44">
        <f>'Data Sheet'!L130</f>
        <v>0</v>
      </c>
      <c r="L130" s="44">
        <f>'Data Sheet'!M130</f>
        <v>0</v>
      </c>
      <c r="M130" s="5"/>
      <c r="N130" s="44">
        <f>'Data Sheet'!O130</f>
        <v>0</v>
      </c>
      <c r="O130" s="44">
        <f>'Data Sheet'!P130</f>
        <v>0</v>
      </c>
      <c r="P130" s="44">
        <f>'Data Sheet'!Q130</f>
        <v>0</v>
      </c>
      <c r="Q130" s="44">
        <f>'Data Sheet'!R130</f>
        <v>0</v>
      </c>
      <c r="R130" s="44">
        <f>'Data Sheet'!S130</f>
        <v>0</v>
      </c>
      <c r="S130" s="44">
        <f>'Data Sheet'!T130</f>
        <v>0</v>
      </c>
      <c r="T130" s="44">
        <f>'Data Sheet'!U130</f>
        <v>0</v>
      </c>
      <c r="U130" s="44">
        <f>'Data Sheet'!V130</f>
        <v>0</v>
      </c>
      <c r="V130" s="5"/>
      <c r="W130" s="16" t="str">
        <f t="shared" si="12"/>
        <v/>
      </c>
      <c r="X130" s="10">
        <v>0</v>
      </c>
      <c r="Y130" s="11">
        <v>0</v>
      </c>
      <c r="Z130" s="11">
        <v>0</v>
      </c>
      <c r="AA130" s="11">
        <v>0</v>
      </c>
      <c r="AB130" s="11">
        <v>0</v>
      </c>
      <c r="AC130" s="11">
        <v>1</v>
      </c>
      <c r="AD130" s="11">
        <v>0</v>
      </c>
      <c r="AE130" s="12">
        <v>0</v>
      </c>
      <c r="AG130" s="45">
        <f t="shared" si="15"/>
        <v>1</v>
      </c>
      <c r="AH130" s="45">
        <f t="shared" si="13"/>
        <v>1</v>
      </c>
      <c r="AI130" s="45">
        <f t="shared" si="16"/>
        <v>0</v>
      </c>
      <c r="AJ130" s="45">
        <f t="shared" si="17"/>
        <v>0</v>
      </c>
      <c r="AK130" s="45">
        <f t="shared" si="14"/>
        <v>0</v>
      </c>
      <c r="AL130" s="1">
        <f t="shared" si="18"/>
        <v>0</v>
      </c>
      <c r="AM130" s="1">
        <f t="shared" si="19"/>
        <v>0</v>
      </c>
      <c r="AO130" s="45">
        <f t="shared" si="20"/>
        <v>0</v>
      </c>
      <c r="AP130" s="45">
        <f t="shared" si="21"/>
        <v>0</v>
      </c>
      <c r="AQ130" s="45">
        <f t="shared" si="22"/>
        <v>0</v>
      </c>
    </row>
    <row r="131" spans="1:43" ht="15" thickTop="1" thickBot="1" x14ac:dyDescent="0.5">
      <c r="A131" s="68" t="str">
        <f>IF(ISTEXT('Data Sheet'!B131),'Data Sheet'!B131&amp;" "&amp;'Data Sheet'!A131,"")</f>
        <v>GABRIELLE SIMS</v>
      </c>
      <c r="B131" s="70">
        <f>'Data Sheet'!C131</f>
        <v>129</v>
      </c>
      <c r="C131" s="38"/>
      <c r="D131" s="44">
        <f>'Data Sheet'!E131</f>
        <v>0</v>
      </c>
      <c r="E131" s="44">
        <f>'Data Sheet'!F131</f>
        <v>1</v>
      </c>
      <c r="F131" s="44">
        <f>'Data Sheet'!G131</f>
        <v>2</v>
      </c>
      <c r="G131" s="44">
        <f>'Data Sheet'!H131</f>
        <v>4</v>
      </c>
      <c r="H131" s="44">
        <f>'Data Sheet'!I131</f>
        <v>0</v>
      </c>
      <c r="I131" s="44">
        <f>'Data Sheet'!J131</f>
        <v>0</v>
      </c>
      <c r="J131" s="44">
        <f>'Data Sheet'!K131</f>
        <v>0</v>
      </c>
      <c r="K131" s="44">
        <f>'Data Sheet'!L131</f>
        <v>0</v>
      </c>
      <c r="L131" s="44">
        <f>'Data Sheet'!M131</f>
        <v>0</v>
      </c>
      <c r="M131" s="5"/>
      <c r="N131" s="44">
        <f>'Data Sheet'!O131</f>
        <v>0</v>
      </c>
      <c r="O131" s="44">
        <f>'Data Sheet'!P131</f>
        <v>0</v>
      </c>
      <c r="P131" s="44">
        <f>'Data Sheet'!Q131</f>
        <v>0</v>
      </c>
      <c r="Q131" s="44">
        <f>'Data Sheet'!R131</f>
        <v>0</v>
      </c>
      <c r="R131" s="44">
        <f>'Data Sheet'!S131</f>
        <v>0</v>
      </c>
      <c r="S131" s="44">
        <f>'Data Sheet'!T131</f>
        <v>0</v>
      </c>
      <c r="T131" s="44">
        <f>'Data Sheet'!U131</f>
        <v>0</v>
      </c>
      <c r="U131" s="44">
        <f>'Data Sheet'!V131</f>
        <v>0</v>
      </c>
      <c r="V131" s="5"/>
      <c r="W131" s="16" t="str">
        <f t="shared" si="12"/>
        <v/>
      </c>
      <c r="X131" s="10">
        <v>0</v>
      </c>
      <c r="Y131" s="11">
        <v>0</v>
      </c>
      <c r="Z131" s="11">
        <v>0</v>
      </c>
      <c r="AA131" s="11">
        <v>0</v>
      </c>
      <c r="AB131" s="11">
        <v>1</v>
      </c>
      <c r="AC131" s="11">
        <v>0</v>
      </c>
      <c r="AD131" s="11">
        <v>0</v>
      </c>
      <c r="AE131" s="12">
        <v>0</v>
      </c>
      <c r="AG131" s="45">
        <f t="shared" si="15"/>
        <v>1</v>
      </c>
      <c r="AH131" s="45">
        <f t="shared" si="13"/>
        <v>1</v>
      </c>
      <c r="AI131" s="45">
        <f t="shared" si="16"/>
        <v>0</v>
      </c>
      <c r="AJ131" s="45">
        <f t="shared" si="17"/>
        <v>0</v>
      </c>
      <c r="AK131" s="45">
        <f t="shared" si="14"/>
        <v>0</v>
      </c>
      <c r="AL131" s="1">
        <f t="shared" si="18"/>
        <v>0</v>
      </c>
      <c r="AM131" s="1">
        <f t="shared" si="19"/>
        <v>0</v>
      </c>
      <c r="AO131" s="45">
        <f t="shared" si="20"/>
        <v>0</v>
      </c>
      <c r="AP131" s="45">
        <f t="shared" si="21"/>
        <v>0</v>
      </c>
      <c r="AQ131" s="45">
        <f t="shared" si="22"/>
        <v>0</v>
      </c>
    </row>
    <row r="132" spans="1:43" ht="15" thickTop="1" thickBot="1" x14ac:dyDescent="0.5">
      <c r="A132" s="68" t="str">
        <f>IF(ISTEXT('Data Sheet'!B132),'Data Sheet'!B132&amp;" "&amp;'Data Sheet'!A132,"")</f>
        <v>SEAN BEST</v>
      </c>
      <c r="B132" s="70">
        <f>'Data Sheet'!C132</f>
        <v>130</v>
      </c>
      <c r="C132" s="38"/>
      <c r="D132" s="44">
        <f>'Data Sheet'!E132</f>
        <v>1</v>
      </c>
      <c r="E132" s="44">
        <f>'Data Sheet'!F132</f>
        <v>1</v>
      </c>
      <c r="F132" s="44">
        <f>'Data Sheet'!G132</f>
        <v>2</v>
      </c>
      <c r="G132" s="44">
        <f>'Data Sheet'!H132</f>
        <v>2</v>
      </c>
      <c r="H132" s="44">
        <f>'Data Sheet'!I132</f>
        <v>0</v>
      </c>
      <c r="I132" s="44">
        <f>'Data Sheet'!J132</f>
        <v>0</v>
      </c>
      <c r="J132" s="44">
        <f>'Data Sheet'!K132</f>
        <v>0</v>
      </c>
      <c r="K132" s="44">
        <f>'Data Sheet'!L132</f>
        <v>0</v>
      </c>
      <c r="L132" s="44">
        <f>'Data Sheet'!M132</f>
        <v>0</v>
      </c>
      <c r="M132" s="5"/>
      <c r="N132" s="44">
        <f>'Data Sheet'!O132</f>
        <v>0</v>
      </c>
      <c r="O132" s="44">
        <f>'Data Sheet'!P132</f>
        <v>0</v>
      </c>
      <c r="P132" s="44">
        <f>'Data Sheet'!Q132</f>
        <v>1</v>
      </c>
      <c r="Q132" s="44">
        <f>'Data Sheet'!R132</f>
        <v>0</v>
      </c>
      <c r="R132" s="44">
        <f>'Data Sheet'!S132</f>
        <v>0</v>
      </c>
      <c r="S132" s="44">
        <f>'Data Sheet'!T132</f>
        <v>0</v>
      </c>
      <c r="T132" s="44">
        <f>'Data Sheet'!U132</f>
        <v>0</v>
      </c>
      <c r="U132" s="44">
        <f>'Data Sheet'!V132</f>
        <v>0</v>
      </c>
      <c r="V132" s="5"/>
      <c r="W132" s="16" t="str">
        <f t="shared" ref="W132:W195" si="23">IF(I132=1,"IEP",IF(J132=1,"GIEP",""))</f>
        <v/>
      </c>
      <c r="X132" s="10">
        <v>0</v>
      </c>
      <c r="Y132" s="11">
        <v>0</v>
      </c>
      <c r="Z132" s="11">
        <v>1</v>
      </c>
      <c r="AA132" s="11">
        <v>0</v>
      </c>
      <c r="AB132" s="11">
        <v>0</v>
      </c>
      <c r="AC132" s="11">
        <v>0</v>
      </c>
      <c r="AD132" s="11">
        <v>0</v>
      </c>
      <c r="AE132" s="12">
        <v>0</v>
      </c>
      <c r="AG132" s="45">
        <f t="shared" si="15"/>
        <v>1</v>
      </c>
      <c r="AH132" s="45">
        <f t="shared" ref="AH132:AH195" si="24">IF(A132="",0,1)</f>
        <v>1</v>
      </c>
      <c r="AI132" s="45">
        <f t="shared" si="16"/>
        <v>0</v>
      </c>
      <c r="AJ132" s="45">
        <f t="shared" si="17"/>
        <v>0</v>
      </c>
      <c r="AK132" s="45">
        <f t="shared" ref="AK132:AK195" si="25">SUMPRODUCT(X132:AE132,N132:U132)</f>
        <v>1</v>
      </c>
      <c r="AL132" s="1">
        <f t="shared" si="18"/>
        <v>1</v>
      </c>
      <c r="AM132" s="1">
        <f t="shared" si="19"/>
        <v>0</v>
      </c>
      <c r="AO132" s="45">
        <f t="shared" si="20"/>
        <v>1</v>
      </c>
      <c r="AP132" s="45">
        <f t="shared" si="21"/>
        <v>1</v>
      </c>
      <c r="AQ132" s="45">
        <f t="shared" si="22"/>
        <v>0</v>
      </c>
    </row>
    <row r="133" spans="1:43" ht="15" thickTop="1" thickBot="1" x14ac:dyDescent="0.5">
      <c r="A133" s="68" t="str">
        <f>IF(ISTEXT('Data Sheet'!B133),'Data Sheet'!B133&amp;" "&amp;'Data Sheet'!A133,"")</f>
        <v>NA'JIRRAH GILCHRIST</v>
      </c>
      <c r="B133" s="70">
        <f>'Data Sheet'!C133</f>
        <v>131</v>
      </c>
      <c r="C133" s="38"/>
      <c r="D133" s="44">
        <f>'Data Sheet'!E133</f>
        <v>0</v>
      </c>
      <c r="E133" s="44">
        <f>'Data Sheet'!F133</f>
        <v>1</v>
      </c>
      <c r="F133" s="44">
        <f>'Data Sheet'!G133</f>
        <v>2</v>
      </c>
      <c r="G133" s="44">
        <f>'Data Sheet'!H133</f>
        <v>2</v>
      </c>
      <c r="H133" s="44">
        <f>'Data Sheet'!I133</f>
        <v>1</v>
      </c>
      <c r="I133" s="44">
        <f>'Data Sheet'!J133</f>
        <v>0</v>
      </c>
      <c r="J133" s="44">
        <f>'Data Sheet'!K133</f>
        <v>0</v>
      </c>
      <c r="K133" s="44">
        <f>'Data Sheet'!L133</f>
        <v>0</v>
      </c>
      <c r="L133" s="44">
        <f>'Data Sheet'!M133</f>
        <v>0</v>
      </c>
      <c r="M133" s="5"/>
      <c r="N133" s="44">
        <f>'Data Sheet'!O133</f>
        <v>0</v>
      </c>
      <c r="O133" s="44">
        <f>'Data Sheet'!P133</f>
        <v>0</v>
      </c>
      <c r="P133" s="44">
        <f>'Data Sheet'!Q133</f>
        <v>0</v>
      </c>
      <c r="Q133" s="44">
        <f>'Data Sheet'!R133</f>
        <v>0</v>
      </c>
      <c r="R133" s="44">
        <f>'Data Sheet'!S133</f>
        <v>0</v>
      </c>
      <c r="S133" s="44">
        <f>'Data Sheet'!T133</f>
        <v>0</v>
      </c>
      <c r="T133" s="44">
        <f>'Data Sheet'!U133</f>
        <v>1</v>
      </c>
      <c r="U133" s="44">
        <f>'Data Sheet'!V133</f>
        <v>0</v>
      </c>
      <c r="V133" s="5"/>
      <c r="W133" s="16" t="str">
        <f t="shared" si="23"/>
        <v/>
      </c>
      <c r="X133" s="10">
        <v>0</v>
      </c>
      <c r="Y133" s="11">
        <v>0</v>
      </c>
      <c r="Z133" s="11">
        <v>0</v>
      </c>
      <c r="AA133" s="11">
        <v>0</v>
      </c>
      <c r="AB133" s="11">
        <v>0</v>
      </c>
      <c r="AC133" s="11">
        <v>0</v>
      </c>
      <c r="AD133" s="11">
        <v>1</v>
      </c>
      <c r="AE133" s="12">
        <v>0</v>
      </c>
      <c r="AG133" s="45">
        <f t="shared" ref="AG133:AG196" si="26">SUM(X133:AE133)</f>
        <v>1</v>
      </c>
      <c r="AH133" s="45">
        <f t="shared" si="24"/>
        <v>1</v>
      </c>
      <c r="AI133" s="45">
        <f t="shared" ref="AI133:AI196" si="27">SUMIF($X$3:$AE$3,W133,X133:AE133)</f>
        <v>0</v>
      </c>
      <c r="AJ133" s="45">
        <f t="shared" ref="AJ133:AJ196" si="28">IF(OR(W133="IEP",W133="GIEP"),1,0)</f>
        <v>0</v>
      </c>
      <c r="AK133" s="45">
        <f t="shared" si="25"/>
        <v>1</v>
      </c>
      <c r="AL133" s="1">
        <f t="shared" ref="AL133" si="29">MAX(N133:U133)</f>
        <v>1</v>
      </c>
      <c r="AM133" s="1">
        <f t="shared" ref="AM133:AM196" si="30">IF(AL133&gt;AK133,1,0)</f>
        <v>0</v>
      </c>
      <c r="AO133" s="45">
        <f t="shared" ref="AO133:AO196" si="31">SUMIF(N133:U133,1,X133:AE133)</f>
        <v>1</v>
      </c>
      <c r="AP133" s="45">
        <f t="shared" ref="AP133:AP196" si="32">IF(SUMIF(N133:U133,1)&gt;0,1,0)</f>
        <v>1</v>
      </c>
      <c r="AQ133" s="45">
        <f t="shared" ref="AQ133:AQ196" si="33">SUMIF(N133:U133,-1,X133:AE133)</f>
        <v>0</v>
      </c>
    </row>
    <row r="134" spans="1:43" ht="15" thickTop="1" thickBot="1" x14ac:dyDescent="0.5">
      <c r="A134" s="68" t="str">
        <f>IF(ISTEXT('Data Sheet'!B134),'Data Sheet'!B134&amp;" "&amp;'Data Sheet'!A134,"")</f>
        <v>ZORIAH HILL</v>
      </c>
      <c r="B134" s="70">
        <f>'Data Sheet'!C134</f>
        <v>132</v>
      </c>
      <c r="C134" s="38"/>
      <c r="D134" s="44">
        <f>'Data Sheet'!E134</f>
        <v>0</v>
      </c>
      <c r="E134" s="44">
        <f>'Data Sheet'!F134</f>
        <v>1</v>
      </c>
      <c r="F134" s="44">
        <f>'Data Sheet'!G134</f>
        <v>2</v>
      </c>
      <c r="G134" s="44">
        <f>'Data Sheet'!H134</f>
        <v>4</v>
      </c>
      <c r="H134" s="44">
        <f>'Data Sheet'!I134</f>
        <v>0</v>
      </c>
      <c r="I134" s="44">
        <f>'Data Sheet'!J134</f>
        <v>0</v>
      </c>
      <c r="J134" s="44">
        <f>'Data Sheet'!K134</f>
        <v>0</v>
      </c>
      <c r="K134" s="44">
        <f>'Data Sheet'!L134</f>
        <v>0</v>
      </c>
      <c r="L134" s="44">
        <f>'Data Sheet'!M134</f>
        <v>0</v>
      </c>
      <c r="M134" s="5"/>
      <c r="N134" s="44">
        <f>'Data Sheet'!O134</f>
        <v>0</v>
      </c>
      <c r="O134" s="44">
        <f>'Data Sheet'!P134</f>
        <v>0</v>
      </c>
      <c r="P134" s="44">
        <f>'Data Sheet'!Q134</f>
        <v>0</v>
      </c>
      <c r="Q134" s="44">
        <f>'Data Sheet'!R134</f>
        <v>0</v>
      </c>
      <c r="R134" s="44">
        <f>'Data Sheet'!S134</f>
        <v>0</v>
      </c>
      <c r="S134" s="44">
        <f>'Data Sheet'!T134</f>
        <v>0</v>
      </c>
      <c r="T134" s="44">
        <f>'Data Sheet'!U134</f>
        <v>0</v>
      </c>
      <c r="U134" s="44">
        <f>'Data Sheet'!V134</f>
        <v>0</v>
      </c>
      <c r="V134" s="5"/>
      <c r="W134" s="16" t="str">
        <f t="shared" si="23"/>
        <v/>
      </c>
      <c r="X134" s="10">
        <v>0</v>
      </c>
      <c r="Y134" s="11">
        <v>0</v>
      </c>
      <c r="Z134" s="11">
        <v>0</v>
      </c>
      <c r="AA134" s="11">
        <v>0</v>
      </c>
      <c r="AB134" s="11">
        <v>0</v>
      </c>
      <c r="AC134" s="11">
        <v>1</v>
      </c>
      <c r="AD134" s="11">
        <v>0</v>
      </c>
      <c r="AE134" s="12">
        <v>0</v>
      </c>
      <c r="AG134" s="45">
        <f t="shared" si="26"/>
        <v>1</v>
      </c>
      <c r="AH134" s="45">
        <f t="shared" si="24"/>
        <v>1</v>
      </c>
      <c r="AI134" s="45">
        <f t="shared" si="27"/>
        <v>0</v>
      </c>
      <c r="AJ134" s="45">
        <f t="shared" si="28"/>
        <v>0</v>
      </c>
      <c r="AK134" s="45">
        <f t="shared" si="25"/>
        <v>0</v>
      </c>
      <c r="AL134" s="1">
        <f>MAX(N134:U134)</f>
        <v>0</v>
      </c>
      <c r="AM134" s="1">
        <f t="shared" si="30"/>
        <v>0</v>
      </c>
      <c r="AO134" s="45">
        <f t="shared" si="31"/>
        <v>0</v>
      </c>
      <c r="AP134" s="45">
        <f t="shared" si="32"/>
        <v>0</v>
      </c>
      <c r="AQ134" s="45">
        <f t="shared" si="33"/>
        <v>0</v>
      </c>
    </row>
    <row r="135" spans="1:43" ht="15" thickTop="1" thickBot="1" x14ac:dyDescent="0.5">
      <c r="A135" s="68" t="str">
        <f>IF(ISTEXT('Data Sheet'!B135),'Data Sheet'!B135&amp;" "&amp;'Data Sheet'!A135,"")</f>
        <v>NICHOLAS DIEMER</v>
      </c>
      <c r="B135" s="70">
        <f>'Data Sheet'!C135</f>
        <v>133</v>
      </c>
      <c r="C135" s="38"/>
      <c r="D135" s="44">
        <f>'Data Sheet'!E135</f>
        <v>1</v>
      </c>
      <c r="E135" s="44">
        <f>'Data Sheet'!F135</f>
        <v>0</v>
      </c>
      <c r="F135" s="44">
        <f>'Data Sheet'!G135</f>
        <v>1</v>
      </c>
      <c r="G135" s="44">
        <f>'Data Sheet'!H135</f>
        <v>3</v>
      </c>
      <c r="H135" s="44">
        <f>'Data Sheet'!I135</f>
        <v>0</v>
      </c>
      <c r="I135" s="44">
        <f>'Data Sheet'!J135</f>
        <v>1</v>
      </c>
      <c r="J135" s="44">
        <f>'Data Sheet'!K135</f>
        <v>0</v>
      </c>
      <c r="K135" s="44">
        <f>'Data Sheet'!L135</f>
        <v>0</v>
      </c>
      <c r="L135" s="44">
        <f>'Data Sheet'!M135</f>
        <v>0</v>
      </c>
      <c r="M135" s="5"/>
      <c r="N135" s="44">
        <f>'Data Sheet'!O135</f>
        <v>0</v>
      </c>
      <c r="O135" s="44">
        <f>'Data Sheet'!P135</f>
        <v>0</v>
      </c>
      <c r="P135" s="44">
        <f>'Data Sheet'!Q135</f>
        <v>0</v>
      </c>
      <c r="Q135" s="44">
        <f>'Data Sheet'!R135</f>
        <v>0</v>
      </c>
      <c r="R135" s="44">
        <f>'Data Sheet'!S135</f>
        <v>0</v>
      </c>
      <c r="S135" s="44">
        <f>'Data Sheet'!T135</f>
        <v>0</v>
      </c>
      <c r="T135" s="44">
        <f>'Data Sheet'!U135</f>
        <v>1</v>
      </c>
      <c r="U135" s="44">
        <f>'Data Sheet'!V135</f>
        <v>0</v>
      </c>
      <c r="V135" s="5"/>
      <c r="W135" s="16" t="str">
        <f t="shared" si="23"/>
        <v>IEP</v>
      </c>
      <c r="X135" s="10">
        <v>0</v>
      </c>
      <c r="Y135" s="11">
        <v>0</v>
      </c>
      <c r="Z135" s="11">
        <v>0</v>
      </c>
      <c r="AA135" s="11">
        <v>0</v>
      </c>
      <c r="AB135" s="11">
        <v>0</v>
      </c>
      <c r="AC135" s="11">
        <v>0</v>
      </c>
      <c r="AD135" s="11">
        <v>1</v>
      </c>
      <c r="AE135" s="12">
        <v>0</v>
      </c>
      <c r="AG135" s="45">
        <f t="shared" si="26"/>
        <v>1</v>
      </c>
      <c r="AH135" s="45">
        <f t="shared" si="24"/>
        <v>1</v>
      </c>
      <c r="AI135" s="45">
        <f t="shared" si="27"/>
        <v>1</v>
      </c>
      <c r="AJ135" s="45">
        <f t="shared" si="28"/>
        <v>1</v>
      </c>
      <c r="AK135" s="45">
        <f t="shared" si="25"/>
        <v>1</v>
      </c>
      <c r="AL135" s="1">
        <f t="shared" ref="AL135:AL198" si="34">MAX(N135:U135)</f>
        <v>1</v>
      </c>
      <c r="AM135" s="1">
        <f t="shared" si="30"/>
        <v>0</v>
      </c>
      <c r="AO135" s="45">
        <f t="shared" si="31"/>
        <v>1</v>
      </c>
      <c r="AP135" s="45">
        <f t="shared" si="32"/>
        <v>1</v>
      </c>
      <c r="AQ135" s="45">
        <f t="shared" si="33"/>
        <v>0</v>
      </c>
    </row>
    <row r="136" spans="1:43" ht="15" thickTop="1" thickBot="1" x14ac:dyDescent="0.5">
      <c r="A136" s="68" t="str">
        <f>IF(ISTEXT('Data Sheet'!B136),'Data Sheet'!B136&amp;" "&amp;'Data Sheet'!A136,"")</f>
        <v>XAVIER EMERY</v>
      </c>
      <c r="B136" s="70">
        <f>'Data Sheet'!C136</f>
        <v>134</v>
      </c>
      <c r="C136" s="38"/>
      <c r="D136" s="44">
        <f>'Data Sheet'!E136</f>
        <v>1</v>
      </c>
      <c r="E136" s="44">
        <f>'Data Sheet'!F136</f>
        <v>1</v>
      </c>
      <c r="F136" s="44">
        <f>'Data Sheet'!G136</f>
        <v>1</v>
      </c>
      <c r="G136" s="44">
        <f>'Data Sheet'!H136</f>
        <v>2</v>
      </c>
      <c r="H136" s="44">
        <f>'Data Sheet'!I136</f>
        <v>0</v>
      </c>
      <c r="I136" s="44">
        <f>'Data Sheet'!J136</f>
        <v>0</v>
      </c>
      <c r="J136" s="44">
        <f>'Data Sheet'!K136</f>
        <v>0</v>
      </c>
      <c r="K136" s="44">
        <f>'Data Sheet'!L136</f>
        <v>0</v>
      </c>
      <c r="L136" s="44">
        <f>'Data Sheet'!M136</f>
        <v>0</v>
      </c>
      <c r="M136" s="5"/>
      <c r="N136" s="44">
        <f>'Data Sheet'!O136</f>
        <v>0</v>
      </c>
      <c r="O136" s="44">
        <f>'Data Sheet'!P136</f>
        <v>0</v>
      </c>
      <c r="P136" s="44">
        <f>'Data Sheet'!Q136</f>
        <v>0</v>
      </c>
      <c r="Q136" s="44">
        <f>'Data Sheet'!R136</f>
        <v>0</v>
      </c>
      <c r="R136" s="44">
        <f>'Data Sheet'!S136</f>
        <v>0</v>
      </c>
      <c r="S136" s="44">
        <f>'Data Sheet'!T136</f>
        <v>0</v>
      </c>
      <c r="T136" s="44">
        <f>'Data Sheet'!U136</f>
        <v>0</v>
      </c>
      <c r="U136" s="44">
        <f>'Data Sheet'!V136</f>
        <v>0</v>
      </c>
      <c r="V136" s="5"/>
      <c r="W136" s="16" t="str">
        <f t="shared" si="23"/>
        <v/>
      </c>
      <c r="X136" s="10">
        <v>0</v>
      </c>
      <c r="Y136" s="11">
        <v>0</v>
      </c>
      <c r="Z136" s="11">
        <v>0</v>
      </c>
      <c r="AA136" s="11">
        <v>0</v>
      </c>
      <c r="AB136" s="11">
        <v>0</v>
      </c>
      <c r="AC136" s="11">
        <v>0</v>
      </c>
      <c r="AD136" s="11">
        <v>1</v>
      </c>
      <c r="AE136" s="12">
        <v>0</v>
      </c>
      <c r="AG136" s="45">
        <f t="shared" si="26"/>
        <v>1</v>
      </c>
      <c r="AH136" s="45">
        <f t="shared" si="24"/>
        <v>1</v>
      </c>
      <c r="AI136" s="45">
        <f t="shared" si="27"/>
        <v>0</v>
      </c>
      <c r="AJ136" s="45">
        <f t="shared" si="28"/>
        <v>0</v>
      </c>
      <c r="AK136" s="45">
        <f t="shared" si="25"/>
        <v>0</v>
      </c>
      <c r="AL136" s="1">
        <f t="shared" si="34"/>
        <v>0</v>
      </c>
      <c r="AM136" s="1">
        <f t="shared" si="30"/>
        <v>0</v>
      </c>
      <c r="AO136" s="45">
        <f t="shared" si="31"/>
        <v>0</v>
      </c>
      <c r="AP136" s="45">
        <f t="shared" si="32"/>
        <v>0</v>
      </c>
      <c r="AQ136" s="45">
        <f t="shared" si="33"/>
        <v>0</v>
      </c>
    </row>
    <row r="137" spans="1:43" ht="15" thickTop="1" thickBot="1" x14ac:dyDescent="0.5">
      <c r="A137" s="68" t="str">
        <f>IF(ISTEXT('Data Sheet'!B137),'Data Sheet'!B137&amp;" "&amp;'Data Sheet'!A137,"")</f>
        <v>RAHMIRE LOPEZ</v>
      </c>
      <c r="B137" s="70">
        <f>'Data Sheet'!C137</f>
        <v>135</v>
      </c>
      <c r="C137" s="38"/>
      <c r="D137" s="44">
        <f>'Data Sheet'!E137</f>
        <v>1</v>
      </c>
      <c r="E137" s="44">
        <f>'Data Sheet'!F137</f>
        <v>1</v>
      </c>
      <c r="F137" s="44">
        <f>'Data Sheet'!G137</f>
        <v>1</v>
      </c>
      <c r="G137" s="44">
        <f>'Data Sheet'!H137</f>
        <v>4</v>
      </c>
      <c r="H137" s="44">
        <f>'Data Sheet'!I137</f>
        <v>0</v>
      </c>
      <c r="I137" s="44">
        <f>'Data Sheet'!J137</f>
        <v>0</v>
      </c>
      <c r="J137" s="44">
        <f>'Data Sheet'!K137</f>
        <v>0</v>
      </c>
      <c r="K137" s="44">
        <f>'Data Sheet'!L137</f>
        <v>0</v>
      </c>
      <c r="L137" s="44">
        <f>'Data Sheet'!M137</f>
        <v>0</v>
      </c>
      <c r="M137" s="5"/>
      <c r="N137" s="44">
        <f>'Data Sheet'!O137</f>
        <v>0</v>
      </c>
      <c r="O137" s="44">
        <f>'Data Sheet'!P137</f>
        <v>0</v>
      </c>
      <c r="P137" s="44">
        <f>'Data Sheet'!Q137</f>
        <v>0</v>
      </c>
      <c r="Q137" s="44">
        <f>'Data Sheet'!R137</f>
        <v>0</v>
      </c>
      <c r="R137" s="44">
        <f>'Data Sheet'!S137</f>
        <v>0</v>
      </c>
      <c r="S137" s="44">
        <f>'Data Sheet'!T137</f>
        <v>0</v>
      </c>
      <c r="T137" s="44">
        <f>'Data Sheet'!U137</f>
        <v>0</v>
      </c>
      <c r="U137" s="44">
        <f>'Data Sheet'!V137</f>
        <v>0</v>
      </c>
      <c r="V137" s="5"/>
      <c r="W137" s="16" t="str">
        <f t="shared" si="23"/>
        <v/>
      </c>
      <c r="X137" s="10">
        <v>1</v>
      </c>
      <c r="Y137" s="11">
        <v>0</v>
      </c>
      <c r="Z137" s="11">
        <v>0</v>
      </c>
      <c r="AA137" s="11">
        <v>0</v>
      </c>
      <c r="AB137" s="11">
        <v>0</v>
      </c>
      <c r="AC137" s="11">
        <v>0</v>
      </c>
      <c r="AD137" s="11">
        <v>0</v>
      </c>
      <c r="AE137" s="12">
        <v>0</v>
      </c>
      <c r="AG137" s="45">
        <f t="shared" si="26"/>
        <v>1</v>
      </c>
      <c r="AH137" s="45">
        <f t="shared" si="24"/>
        <v>1</v>
      </c>
      <c r="AI137" s="45">
        <f t="shared" si="27"/>
        <v>0</v>
      </c>
      <c r="AJ137" s="45">
        <f t="shared" si="28"/>
        <v>0</v>
      </c>
      <c r="AK137" s="45">
        <f t="shared" si="25"/>
        <v>0</v>
      </c>
      <c r="AL137" s="1">
        <f t="shared" si="34"/>
        <v>0</v>
      </c>
      <c r="AM137" s="1">
        <f t="shared" si="30"/>
        <v>0</v>
      </c>
      <c r="AO137" s="45">
        <f t="shared" si="31"/>
        <v>0</v>
      </c>
      <c r="AP137" s="45">
        <f t="shared" si="32"/>
        <v>0</v>
      </c>
      <c r="AQ137" s="45">
        <f t="shared" si="33"/>
        <v>0</v>
      </c>
    </row>
    <row r="138" spans="1:43" ht="15" thickTop="1" thickBot="1" x14ac:dyDescent="0.5">
      <c r="A138" s="68" t="str">
        <f>IF(ISTEXT('Data Sheet'!B138),'Data Sheet'!B138&amp;" "&amp;'Data Sheet'!A138,"")</f>
        <v>DYLAN VOUGHT</v>
      </c>
      <c r="B138" s="70">
        <f>'Data Sheet'!C138</f>
        <v>136</v>
      </c>
      <c r="C138" s="38"/>
      <c r="D138" s="44">
        <f>'Data Sheet'!E138</f>
        <v>1</v>
      </c>
      <c r="E138" s="44">
        <f>'Data Sheet'!F138</f>
        <v>0</v>
      </c>
      <c r="F138" s="44">
        <f>'Data Sheet'!G138</f>
        <v>1</v>
      </c>
      <c r="G138" s="44">
        <f>'Data Sheet'!H138</f>
        <v>3</v>
      </c>
      <c r="H138" s="44">
        <f>'Data Sheet'!I138</f>
        <v>1</v>
      </c>
      <c r="I138" s="44">
        <f>'Data Sheet'!J138</f>
        <v>0</v>
      </c>
      <c r="J138" s="44">
        <f>'Data Sheet'!K138</f>
        <v>0</v>
      </c>
      <c r="K138" s="44">
        <f>'Data Sheet'!L138</f>
        <v>0</v>
      </c>
      <c r="L138" s="44">
        <f>'Data Sheet'!M138</f>
        <v>0</v>
      </c>
      <c r="M138" s="5"/>
      <c r="N138" s="44">
        <f>'Data Sheet'!O138</f>
        <v>0</v>
      </c>
      <c r="O138" s="44">
        <f>'Data Sheet'!P138</f>
        <v>0</v>
      </c>
      <c r="P138" s="44">
        <f>'Data Sheet'!Q138</f>
        <v>0</v>
      </c>
      <c r="Q138" s="44">
        <f>'Data Sheet'!R138</f>
        <v>0</v>
      </c>
      <c r="R138" s="44">
        <f>'Data Sheet'!S138</f>
        <v>0</v>
      </c>
      <c r="S138" s="44">
        <f>'Data Sheet'!T138</f>
        <v>1</v>
      </c>
      <c r="T138" s="44">
        <f>'Data Sheet'!U138</f>
        <v>0</v>
      </c>
      <c r="U138" s="44">
        <f>'Data Sheet'!V138</f>
        <v>0</v>
      </c>
      <c r="V138" s="5"/>
      <c r="W138" s="16" t="str">
        <f t="shared" si="23"/>
        <v/>
      </c>
      <c r="X138" s="10">
        <v>0</v>
      </c>
      <c r="Y138" s="11">
        <v>0</v>
      </c>
      <c r="Z138" s="11">
        <v>0</v>
      </c>
      <c r="AA138" s="11">
        <v>0</v>
      </c>
      <c r="AB138" s="11">
        <v>0</v>
      </c>
      <c r="AC138" s="11">
        <v>1</v>
      </c>
      <c r="AD138" s="11">
        <v>0</v>
      </c>
      <c r="AE138" s="12">
        <v>0</v>
      </c>
      <c r="AG138" s="45">
        <f t="shared" si="26"/>
        <v>1</v>
      </c>
      <c r="AH138" s="45">
        <f t="shared" si="24"/>
        <v>1</v>
      </c>
      <c r="AI138" s="45">
        <f t="shared" si="27"/>
        <v>0</v>
      </c>
      <c r="AJ138" s="45">
        <f t="shared" si="28"/>
        <v>0</v>
      </c>
      <c r="AK138" s="45">
        <f t="shared" si="25"/>
        <v>1</v>
      </c>
      <c r="AL138" s="1">
        <f t="shared" si="34"/>
        <v>1</v>
      </c>
      <c r="AM138" s="1">
        <f t="shared" si="30"/>
        <v>0</v>
      </c>
      <c r="AO138" s="45">
        <f t="shared" si="31"/>
        <v>1</v>
      </c>
      <c r="AP138" s="45">
        <f t="shared" si="32"/>
        <v>1</v>
      </c>
      <c r="AQ138" s="45">
        <f t="shared" si="33"/>
        <v>0</v>
      </c>
    </row>
    <row r="139" spans="1:43" ht="15" thickTop="1" thickBot="1" x14ac:dyDescent="0.5">
      <c r="A139" s="68" t="str">
        <f>IF(ISTEXT('Data Sheet'!B139),'Data Sheet'!B139&amp;" "&amp;'Data Sheet'!A139,"")</f>
        <v>JAZLYNN ALICEA</v>
      </c>
      <c r="B139" s="70">
        <f>'Data Sheet'!C139</f>
        <v>137</v>
      </c>
      <c r="C139" s="38"/>
      <c r="D139" s="44">
        <f>'Data Sheet'!E139</f>
        <v>0</v>
      </c>
      <c r="E139" s="44">
        <f>'Data Sheet'!F139</f>
        <v>1</v>
      </c>
      <c r="F139" s="44">
        <f>'Data Sheet'!G139</f>
        <v>1</v>
      </c>
      <c r="G139" s="44">
        <f>'Data Sheet'!H139</f>
        <v>4</v>
      </c>
      <c r="H139" s="44">
        <f>'Data Sheet'!I139</f>
        <v>0</v>
      </c>
      <c r="I139" s="44">
        <f>'Data Sheet'!J139</f>
        <v>0</v>
      </c>
      <c r="J139" s="44">
        <f>'Data Sheet'!K139</f>
        <v>0</v>
      </c>
      <c r="K139" s="44">
        <f>'Data Sheet'!L139</f>
        <v>0</v>
      </c>
      <c r="L139" s="44">
        <f>'Data Sheet'!M139</f>
        <v>0</v>
      </c>
      <c r="M139" s="5"/>
      <c r="N139" s="44">
        <f>'Data Sheet'!O139</f>
        <v>0</v>
      </c>
      <c r="O139" s="44">
        <f>'Data Sheet'!P139</f>
        <v>0</v>
      </c>
      <c r="P139" s="44">
        <f>'Data Sheet'!Q139</f>
        <v>0</v>
      </c>
      <c r="Q139" s="44">
        <f>'Data Sheet'!R139</f>
        <v>0</v>
      </c>
      <c r="R139" s="44">
        <f>'Data Sheet'!S139</f>
        <v>0</v>
      </c>
      <c r="S139" s="44">
        <f>'Data Sheet'!T139</f>
        <v>0</v>
      </c>
      <c r="T139" s="44">
        <f>'Data Sheet'!U139</f>
        <v>0</v>
      </c>
      <c r="U139" s="44">
        <f>'Data Sheet'!V139</f>
        <v>0</v>
      </c>
      <c r="V139" s="5"/>
      <c r="W139" s="16" t="str">
        <f t="shared" si="23"/>
        <v/>
      </c>
      <c r="X139" s="10">
        <v>0</v>
      </c>
      <c r="Y139" s="11">
        <v>0</v>
      </c>
      <c r="Z139" s="11">
        <v>0</v>
      </c>
      <c r="AA139" s="11">
        <v>1</v>
      </c>
      <c r="AB139" s="11">
        <v>0</v>
      </c>
      <c r="AC139" s="11">
        <v>0</v>
      </c>
      <c r="AD139" s="11">
        <v>0</v>
      </c>
      <c r="AE139" s="12">
        <v>0</v>
      </c>
      <c r="AG139" s="45">
        <f t="shared" si="26"/>
        <v>1</v>
      </c>
      <c r="AH139" s="45">
        <f t="shared" si="24"/>
        <v>1</v>
      </c>
      <c r="AI139" s="45">
        <f t="shared" si="27"/>
        <v>0</v>
      </c>
      <c r="AJ139" s="45">
        <f t="shared" si="28"/>
        <v>0</v>
      </c>
      <c r="AK139" s="45">
        <f t="shared" si="25"/>
        <v>0</v>
      </c>
      <c r="AL139" s="1">
        <f t="shared" si="34"/>
        <v>0</v>
      </c>
      <c r="AM139" s="1">
        <f t="shared" si="30"/>
        <v>0</v>
      </c>
      <c r="AO139" s="45">
        <f t="shared" si="31"/>
        <v>0</v>
      </c>
      <c r="AP139" s="45">
        <f t="shared" si="32"/>
        <v>0</v>
      </c>
      <c r="AQ139" s="45">
        <f t="shared" si="33"/>
        <v>0</v>
      </c>
    </row>
    <row r="140" spans="1:43" ht="15" thickTop="1" thickBot="1" x14ac:dyDescent="0.5">
      <c r="A140" s="68" t="str">
        <f>IF(ISTEXT('Data Sheet'!B140),'Data Sheet'!B140&amp;" "&amp;'Data Sheet'!A140,"")</f>
        <v>KIERE MILLER</v>
      </c>
      <c r="B140" s="70">
        <f>'Data Sheet'!C140</f>
        <v>138</v>
      </c>
      <c r="C140" s="38"/>
      <c r="D140" s="44">
        <f>'Data Sheet'!E140</f>
        <v>1</v>
      </c>
      <c r="E140" s="44">
        <f>'Data Sheet'!F140</f>
        <v>1</v>
      </c>
      <c r="F140" s="44">
        <f>'Data Sheet'!G140</f>
        <v>1</v>
      </c>
      <c r="G140" s="44">
        <f>'Data Sheet'!H140</f>
        <v>1</v>
      </c>
      <c r="H140" s="44">
        <f>'Data Sheet'!I140</f>
        <v>1</v>
      </c>
      <c r="I140" s="44">
        <f>'Data Sheet'!J140</f>
        <v>0</v>
      </c>
      <c r="J140" s="44">
        <f>'Data Sheet'!K140</f>
        <v>0</v>
      </c>
      <c r="K140" s="44">
        <f>'Data Sheet'!L140</f>
        <v>0</v>
      </c>
      <c r="L140" s="44">
        <f>'Data Sheet'!M140</f>
        <v>0</v>
      </c>
      <c r="M140" s="5"/>
      <c r="N140" s="44">
        <f>'Data Sheet'!O140</f>
        <v>0</v>
      </c>
      <c r="O140" s="44">
        <f>'Data Sheet'!P140</f>
        <v>0</v>
      </c>
      <c r="P140" s="44">
        <f>'Data Sheet'!Q140</f>
        <v>0</v>
      </c>
      <c r="Q140" s="44">
        <f>'Data Sheet'!R140</f>
        <v>0</v>
      </c>
      <c r="R140" s="44">
        <f>'Data Sheet'!S140</f>
        <v>0</v>
      </c>
      <c r="S140" s="44">
        <f>'Data Sheet'!T140</f>
        <v>0</v>
      </c>
      <c r="T140" s="44">
        <f>'Data Sheet'!U140</f>
        <v>0</v>
      </c>
      <c r="U140" s="44">
        <f>'Data Sheet'!V140</f>
        <v>0</v>
      </c>
      <c r="V140" s="5"/>
      <c r="W140" s="16" t="str">
        <f t="shared" si="23"/>
        <v/>
      </c>
      <c r="X140" s="10">
        <v>0</v>
      </c>
      <c r="Y140" s="11">
        <v>0</v>
      </c>
      <c r="Z140" s="11">
        <v>0</v>
      </c>
      <c r="AA140" s="11">
        <v>0</v>
      </c>
      <c r="AB140" s="11">
        <v>0</v>
      </c>
      <c r="AC140" s="11">
        <v>0</v>
      </c>
      <c r="AD140" s="11">
        <v>0</v>
      </c>
      <c r="AE140" s="12">
        <v>1</v>
      </c>
      <c r="AG140" s="45">
        <f t="shared" si="26"/>
        <v>1</v>
      </c>
      <c r="AH140" s="45">
        <f t="shared" si="24"/>
        <v>1</v>
      </c>
      <c r="AI140" s="45">
        <f t="shared" si="27"/>
        <v>0</v>
      </c>
      <c r="AJ140" s="45">
        <f t="shared" si="28"/>
        <v>0</v>
      </c>
      <c r="AK140" s="45">
        <f t="shared" si="25"/>
        <v>0</v>
      </c>
      <c r="AL140" s="1">
        <f t="shared" si="34"/>
        <v>0</v>
      </c>
      <c r="AM140" s="1">
        <f t="shared" si="30"/>
        <v>0</v>
      </c>
      <c r="AO140" s="45">
        <f t="shared" si="31"/>
        <v>0</v>
      </c>
      <c r="AP140" s="45">
        <f t="shared" si="32"/>
        <v>0</v>
      </c>
      <c r="AQ140" s="45">
        <f t="shared" si="33"/>
        <v>0</v>
      </c>
    </row>
    <row r="141" spans="1:43" ht="15" thickTop="1" thickBot="1" x14ac:dyDescent="0.5">
      <c r="A141" s="68" t="str">
        <f>IF(ISTEXT('Data Sheet'!B141),'Data Sheet'!B141&amp;" "&amp;'Data Sheet'!A141,"")</f>
        <v>KADEN RIDER</v>
      </c>
      <c r="B141" s="70">
        <f>'Data Sheet'!C141</f>
        <v>139</v>
      </c>
      <c r="C141" s="38"/>
      <c r="D141" s="44">
        <f>'Data Sheet'!E141</f>
        <v>1</v>
      </c>
      <c r="E141" s="44">
        <f>'Data Sheet'!F141</f>
        <v>1</v>
      </c>
      <c r="F141" s="44">
        <f>'Data Sheet'!G141</f>
        <v>1</v>
      </c>
      <c r="G141" s="44">
        <f>'Data Sheet'!H141</f>
        <v>2</v>
      </c>
      <c r="H141" s="44">
        <f>'Data Sheet'!I141</f>
        <v>0</v>
      </c>
      <c r="I141" s="44">
        <f>'Data Sheet'!J141</f>
        <v>0</v>
      </c>
      <c r="J141" s="44">
        <f>'Data Sheet'!K141</f>
        <v>0</v>
      </c>
      <c r="K141" s="44">
        <f>'Data Sheet'!L141</f>
        <v>0</v>
      </c>
      <c r="L141" s="44">
        <f>'Data Sheet'!M141</f>
        <v>0</v>
      </c>
      <c r="M141" s="5"/>
      <c r="N141" s="44">
        <f>'Data Sheet'!O141</f>
        <v>0</v>
      </c>
      <c r="O141" s="44">
        <f>'Data Sheet'!P141</f>
        <v>0</v>
      </c>
      <c r="P141" s="44">
        <f>'Data Sheet'!Q141</f>
        <v>0</v>
      </c>
      <c r="Q141" s="44">
        <f>'Data Sheet'!R141</f>
        <v>0</v>
      </c>
      <c r="R141" s="44">
        <f>'Data Sheet'!S141</f>
        <v>0</v>
      </c>
      <c r="S141" s="44">
        <f>'Data Sheet'!T141</f>
        <v>0</v>
      </c>
      <c r="T141" s="44">
        <f>'Data Sheet'!U141</f>
        <v>0</v>
      </c>
      <c r="U141" s="44">
        <f>'Data Sheet'!V141</f>
        <v>0</v>
      </c>
      <c r="V141" s="5"/>
      <c r="W141" s="16" t="str">
        <f t="shared" si="23"/>
        <v/>
      </c>
      <c r="X141" s="10">
        <v>0</v>
      </c>
      <c r="Y141" s="11">
        <v>0</v>
      </c>
      <c r="Z141" s="11">
        <v>0</v>
      </c>
      <c r="AA141" s="11">
        <v>0</v>
      </c>
      <c r="AB141" s="11">
        <v>0</v>
      </c>
      <c r="AC141" s="11">
        <v>0</v>
      </c>
      <c r="AD141" s="11">
        <v>0</v>
      </c>
      <c r="AE141" s="12">
        <v>1</v>
      </c>
      <c r="AG141" s="45">
        <f t="shared" si="26"/>
        <v>1</v>
      </c>
      <c r="AH141" s="45">
        <f t="shared" si="24"/>
        <v>1</v>
      </c>
      <c r="AI141" s="45">
        <f t="shared" si="27"/>
        <v>0</v>
      </c>
      <c r="AJ141" s="45">
        <f t="shared" si="28"/>
        <v>0</v>
      </c>
      <c r="AK141" s="45">
        <f t="shared" si="25"/>
        <v>0</v>
      </c>
      <c r="AL141" s="1">
        <f t="shared" si="34"/>
        <v>0</v>
      </c>
      <c r="AM141" s="1">
        <f t="shared" si="30"/>
        <v>0</v>
      </c>
      <c r="AO141" s="45">
        <f t="shared" si="31"/>
        <v>0</v>
      </c>
      <c r="AP141" s="45">
        <f t="shared" si="32"/>
        <v>0</v>
      </c>
      <c r="AQ141" s="45">
        <f t="shared" si="33"/>
        <v>0</v>
      </c>
    </row>
    <row r="142" spans="1:43" ht="15" thickTop="1" thickBot="1" x14ac:dyDescent="0.5">
      <c r="A142" s="68" t="str">
        <f>IF(ISTEXT('Data Sheet'!B142),'Data Sheet'!B142&amp;" "&amp;'Data Sheet'!A142,"")</f>
        <v>JASIM SMITH</v>
      </c>
      <c r="B142" s="70">
        <f>'Data Sheet'!C142</f>
        <v>140</v>
      </c>
      <c r="C142" s="38"/>
      <c r="D142" s="44">
        <f>'Data Sheet'!E142</f>
        <v>1</v>
      </c>
      <c r="E142" s="44">
        <f>'Data Sheet'!F142</f>
        <v>1</v>
      </c>
      <c r="F142" s="44">
        <f>'Data Sheet'!G142</f>
        <v>1</v>
      </c>
      <c r="G142" s="44">
        <f>'Data Sheet'!H142</f>
        <v>2</v>
      </c>
      <c r="H142" s="44">
        <f>'Data Sheet'!I142</f>
        <v>1</v>
      </c>
      <c r="I142" s="44">
        <f>'Data Sheet'!J142</f>
        <v>1</v>
      </c>
      <c r="J142" s="44">
        <f>'Data Sheet'!K142</f>
        <v>0</v>
      </c>
      <c r="K142" s="44">
        <f>'Data Sheet'!L142</f>
        <v>0</v>
      </c>
      <c r="L142" s="44">
        <f>'Data Sheet'!M142</f>
        <v>0</v>
      </c>
      <c r="M142" s="5"/>
      <c r="N142" s="44">
        <f>'Data Sheet'!O142</f>
        <v>0</v>
      </c>
      <c r="O142" s="44">
        <f>'Data Sheet'!P142</f>
        <v>0</v>
      </c>
      <c r="P142" s="44">
        <f>'Data Sheet'!Q142</f>
        <v>0</v>
      </c>
      <c r="Q142" s="44">
        <f>'Data Sheet'!R142</f>
        <v>0</v>
      </c>
      <c r="R142" s="44">
        <f>'Data Sheet'!S142</f>
        <v>0</v>
      </c>
      <c r="S142" s="44">
        <f>'Data Sheet'!T142</f>
        <v>0</v>
      </c>
      <c r="T142" s="44">
        <f>'Data Sheet'!U142</f>
        <v>0</v>
      </c>
      <c r="U142" s="44">
        <f>'Data Sheet'!V142</f>
        <v>0</v>
      </c>
      <c r="V142" s="5"/>
      <c r="W142" s="16" t="str">
        <f t="shared" si="23"/>
        <v>IEP</v>
      </c>
      <c r="X142" s="10">
        <v>0</v>
      </c>
      <c r="Y142" s="11">
        <v>0</v>
      </c>
      <c r="Z142" s="11">
        <v>0</v>
      </c>
      <c r="AA142" s="11">
        <v>0</v>
      </c>
      <c r="AB142" s="11">
        <v>1</v>
      </c>
      <c r="AC142" s="11">
        <v>0</v>
      </c>
      <c r="AD142" s="11">
        <v>0</v>
      </c>
      <c r="AE142" s="12">
        <v>0</v>
      </c>
      <c r="AG142" s="45">
        <f t="shared" si="26"/>
        <v>1</v>
      </c>
      <c r="AH142" s="45">
        <f t="shared" si="24"/>
        <v>1</v>
      </c>
      <c r="AI142" s="45">
        <f t="shared" si="27"/>
        <v>1</v>
      </c>
      <c r="AJ142" s="45">
        <f t="shared" si="28"/>
        <v>1</v>
      </c>
      <c r="AK142" s="45">
        <f t="shared" si="25"/>
        <v>0</v>
      </c>
      <c r="AL142" s="1">
        <f t="shared" si="34"/>
        <v>0</v>
      </c>
      <c r="AM142" s="1">
        <f t="shared" si="30"/>
        <v>0</v>
      </c>
      <c r="AO142" s="45">
        <f t="shared" si="31"/>
        <v>0</v>
      </c>
      <c r="AP142" s="45">
        <f t="shared" si="32"/>
        <v>0</v>
      </c>
      <c r="AQ142" s="45">
        <f t="shared" si="33"/>
        <v>0</v>
      </c>
    </row>
    <row r="143" spans="1:43" ht="15" thickTop="1" thickBot="1" x14ac:dyDescent="0.5">
      <c r="A143" s="68" t="str">
        <f>IF(ISTEXT('Data Sheet'!B143),'Data Sheet'!B143&amp;" "&amp;'Data Sheet'!A143,"")</f>
        <v>ARRON TALLEY</v>
      </c>
      <c r="B143" s="70">
        <f>'Data Sheet'!C143</f>
        <v>141</v>
      </c>
      <c r="C143" s="38"/>
      <c r="D143" s="44">
        <f>'Data Sheet'!E143</f>
        <v>1</v>
      </c>
      <c r="E143" s="44">
        <f>'Data Sheet'!F143</f>
        <v>1</v>
      </c>
      <c r="F143" s="44">
        <f>'Data Sheet'!G143</f>
        <v>1</v>
      </c>
      <c r="G143" s="44">
        <f>'Data Sheet'!H143</f>
        <v>4</v>
      </c>
      <c r="H143" s="44">
        <f>'Data Sheet'!I143</f>
        <v>0</v>
      </c>
      <c r="I143" s="44">
        <f>'Data Sheet'!J143</f>
        <v>1</v>
      </c>
      <c r="J143" s="44">
        <f>'Data Sheet'!K143</f>
        <v>0</v>
      </c>
      <c r="K143" s="44">
        <f>'Data Sheet'!L143</f>
        <v>0</v>
      </c>
      <c r="L143" s="44">
        <f>'Data Sheet'!M143</f>
        <v>0</v>
      </c>
      <c r="M143" s="5"/>
      <c r="N143" s="44">
        <f>'Data Sheet'!O143</f>
        <v>0</v>
      </c>
      <c r="O143" s="44">
        <f>'Data Sheet'!P143</f>
        <v>0</v>
      </c>
      <c r="P143" s="44">
        <f>'Data Sheet'!Q143</f>
        <v>0</v>
      </c>
      <c r="Q143" s="44">
        <f>'Data Sheet'!R143</f>
        <v>0</v>
      </c>
      <c r="R143" s="44">
        <f>'Data Sheet'!S143</f>
        <v>0</v>
      </c>
      <c r="S143" s="44">
        <f>'Data Sheet'!T143</f>
        <v>0</v>
      </c>
      <c r="T143" s="44">
        <f>'Data Sheet'!U143</f>
        <v>1</v>
      </c>
      <c r="U143" s="44">
        <f>'Data Sheet'!V143</f>
        <v>0</v>
      </c>
      <c r="V143" s="5"/>
      <c r="W143" s="16" t="str">
        <f t="shared" si="23"/>
        <v>IEP</v>
      </c>
      <c r="X143" s="10">
        <v>0</v>
      </c>
      <c r="Y143" s="11">
        <v>0</v>
      </c>
      <c r="Z143" s="11">
        <v>0</v>
      </c>
      <c r="AA143" s="11">
        <v>0</v>
      </c>
      <c r="AB143" s="11">
        <v>0</v>
      </c>
      <c r="AC143" s="11">
        <v>0</v>
      </c>
      <c r="AD143" s="11">
        <v>1</v>
      </c>
      <c r="AE143" s="12">
        <v>0</v>
      </c>
      <c r="AG143" s="45">
        <f t="shared" si="26"/>
        <v>1</v>
      </c>
      <c r="AH143" s="45">
        <f t="shared" si="24"/>
        <v>1</v>
      </c>
      <c r="AI143" s="45">
        <f t="shared" si="27"/>
        <v>1</v>
      </c>
      <c r="AJ143" s="45">
        <f t="shared" si="28"/>
        <v>1</v>
      </c>
      <c r="AK143" s="45">
        <f t="shared" si="25"/>
        <v>1</v>
      </c>
      <c r="AL143" s="1">
        <f t="shared" si="34"/>
        <v>1</v>
      </c>
      <c r="AM143" s="1">
        <f t="shared" si="30"/>
        <v>0</v>
      </c>
      <c r="AO143" s="45">
        <f t="shared" si="31"/>
        <v>1</v>
      </c>
      <c r="AP143" s="45">
        <f t="shared" si="32"/>
        <v>1</v>
      </c>
      <c r="AQ143" s="45">
        <f t="shared" si="33"/>
        <v>0</v>
      </c>
    </row>
    <row r="144" spans="1:43" ht="15" thickTop="1" thickBot="1" x14ac:dyDescent="0.5">
      <c r="A144" s="68" t="str">
        <f>IF(ISTEXT('Data Sheet'!B144),'Data Sheet'!B144&amp;" "&amp;'Data Sheet'!A144,"")</f>
        <v>MALIK TUBBS</v>
      </c>
      <c r="B144" s="70">
        <f>'Data Sheet'!C144</f>
        <v>142</v>
      </c>
      <c r="C144" s="38"/>
      <c r="D144" s="44">
        <f>'Data Sheet'!E144</f>
        <v>1</v>
      </c>
      <c r="E144" s="44">
        <f>'Data Sheet'!F144</f>
        <v>1</v>
      </c>
      <c r="F144" s="44">
        <f>'Data Sheet'!G144</f>
        <v>1</v>
      </c>
      <c r="G144" s="44">
        <f>'Data Sheet'!H144</f>
        <v>3</v>
      </c>
      <c r="H144" s="44">
        <f>'Data Sheet'!I144</f>
        <v>0</v>
      </c>
      <c r="I144" s="44">
        <f>'Data Sheet'!J144</f>
        <v>1</v>
      </c>
      <c r="J144" s="44">
        <f>'Data Sheet'!K144</f>
        <v>0</v>
      </c>
      <c r="K144" s="44">
        <f>'Data Sheet'!L144</f>
        <v>0</v>
      </c>
      <c r="L144" s="44">
        <f>'Data Sheet'!M144</f>
        <v>0</v>
      </c>
      <c r="M144" s="5"/>
      <c r="N144" s="44">
        <f>'Data Sheet'!O144</f>
        <v>0</v>
      </c>
      <c r="O144" s="44">
        <f>'Data Sheet'!P144</f>
        <v>0</v>
      </c>
      <c r="P144" s="44">
        <f>'Data Sheet'!Q144</f>
        <v>0</v>
      </c>
      <c r="Q144" s="44">
        <f>'Data Sheet'!R144</f>
        <v>0</v>
      </c>
      <c r="R144" s="44">
        <f>'Data Sheet'!S144</f>
        <v>0</v>
      </c>
      <c r="S144" s="44">
        <f>'Data Sheet'!T144</f>
        <v>0</v>
      </c>
      <c r="T144" s="44">
        <f>'Data Sheet'!U144</f>
        <v>0</v>
      </c>
      <c r="U144" s="44">
        <f>'Data Sheet'!V144</f>
        <v>0</v>
      </c>
      <c r="V144" s="5"/>
      <c r="W144" s="16" t="str">
        <f t="shared" si="23"/>
        <v>IEP</v>
      </c>
      <c r="X144" s="10">
        <v>1</v>
      </c>
      <c r="Y144" s="11">
        <v>0</v>
      </c>
      <c r="Z144" s="11">
        <v>0</v>
      </c>
      <c r="AA144" s="11">
        <v>0</v>
      </c>
      <c r="AB144" s="11">
        <v>0</v>
      </c>
      <c r="AC144" s="11">
        <v>0</v>
      </c>
      <c r="AD144" s="11">
        <v>0</v>
      </c>
      <c r="AE144" s="12">
        <v>0</v>
      </c>
      <c r="AG144" s="45">
        <f t="shared" si="26"/>
        <v>1</v>
      </c>
      <c r="AH144" s="45">
        <f t="shared" si="24"/>
        <v>1</v>
      </c>
      <c r="AI144" s="45">
        <f t="shared" si="27"/>
        <v>1</v>
      </c>
      <c r="AJ144" s="45">
        <f t="shared" si="28"/>
        <v>1</v>
      </c>
      <c r="AK144" s="45">
        <f t="shared" si="25"/>
        <v>0</v>
      </c>
      <c r="AL144" s="1">
        <f t="shared" si="34"/>
        <v>0</v>
      </c>
      <c r="AM144" s="1">
        <f t="shared" si="30"/>
        <v>0</v>
      </c>
      <c r="AO144" s="45">
        <f t="shared" si="31"/>
        <v>0</v>
      </c>
      <c r="AP144" s="45">
        <f t="shared" si="32"/>
        <v>0</v>
      </c>
      <c r="AQ144" s="45">
        <f t="shared" si="33"/>
        <v>0</v>
      </c>
    </row>
    <row r="145" spans="1:43" ht="15" thickTop="1" thickBot="1" x14ac:dyDescent="0.5">
      <c r="A145" s="68" t="str">
        <f>IF(ISTEXT('Data Sheet'!B145),'Data Sheet'!B145&amp;" "&amp;'Data Sheet'!A145,"")</f>
        <v>ISHMAEL AMOS</v>
      </c>
      <c r="B145" s="70">
        <f>'Data Sheet'!C145</f>
        <v>143</v>
      </c>
      <c r="C145" s="38"/>
      <c r="D145" s="44">
        <f>'Data Sheet'!E145</f>
        <v>1</v>
      </c>
      <c r="E145" s="44">
        <f>'Data Sheet'!F145</f>
        <v>1</v>
      </c>
      <c r="F145" s="44">
        <f>'Data Sheet'!G145</f>
        <v>1</v>
      </c>
      <c r="G145" s="44">
        <f>'Data Sheet'!H145</f>
        <v>3</v>
      </c>
      <c r="H145" s="44">
        <f>'Data Sheet'!I145</f>
        <v>0</v>
      </c>
      <c r="I145" s="44">
        <f>'Data Sheet'!J145</f>
        <v>0</v>
      </c>
      <c r="J145" s="44">
        <f>'Data Sheet'!K145</f>
        <v>0</v>
      </c>
      <c r="K145" s="44">
        <f>'Data Sheet'!L145</f>
        <v>0</v>
      </c>
      <c r="L145" s="44">
        <f>'Data Sheet'!M145</f>
        <v>0</v>
      </c>
      <c r="M145" s="5"/>
      <c r="N145" s="44">
        <f>'Data Sheet'!O145</f>
        <v>0</v>
      </c>
      <c r="O145" s="44">
        <f>'Data Sheet'!P145</f>
        <v>0</v>
      </c>
      <c r="P145" s="44">
        <f>'Data Sheet'!Q145</f>
        <v>0</v>
      </c>
      <c r="Q145" s="44">
        <f>'Data Sheet'!R145</f>
        <v>0</v>
      </c>
      <c r="R145" s="44">
        <f>'Data Sheet'!S145</f>
        <v>0</v>
      </c>
      <c r="S145" s="44">
        <f>'Data Sheet'!T145</f>
        <v>0</v>
      </c>
      <c r="T145" s="44">
        <f>'Data Sheet'!U145</f>
        <v>0</v>
      </c>
      <c r="U145" s="44">
        <f>'Data Sheet'!V145</f>
        <v>0</v>
      </c>
      <c r="V145" s="5"/>
      <c r="W145" s="16" t="str">
        <f t="shared" si="23"/>
        <v/>
      </c>
      <c r="X145" s="10">
        <v>1</v>
      </c>
      <c r="Y145" s="11">
        <v>0</v>
      </c>
      <c r="Z145" s="11">
        <v>0</v>
      </c>
      <c r="AA145" s="11">
        <v>0</v>
      </c>
      <c r="AB145" s="11">
        <v>0</v>
      </c>
      <c r="AC145" s="11">
        <v>0</v>
      </c>
      <c r="AD145" s="11">
        <v>0</v>
      </c>
      <c r="AE145" s="12">
        <v>0</v>
      </c>
      <c r="AG145" s="45">
        <f t="shared" si="26"/>
        <v>1</v>
      </c>
      <c r="AH145" s="45">
        <f t="shared" si="24"/>
        <v>1</v>
      </c>
      <c r="AI145" s="45">
        <f t="shared" si="27"/>
        <v>0</v>
      </c>
      <c r="AJ145" s="45">
        <f t="shared" si="28"/>
        <v>0</v>
      </c>
      <c r="AK145" s="45">
        <f t="shared" si="25"/>
        <v>0</v>
      </c>
      <c r="AL145" s="1">
        <f t="shared" si="34"/>
        <v>0</v>
      </c>
      <c r="AM145" s="1">
        <f t="shared" si="30"/>
        <v>0</v>
      </c>
      <c r="AO145" s="45">
        <f t="shared" si="31"/>
        <v>0</v>
      </c>
      <c r="AP145" s="45">
        <f t="shared" si="32"/>
        <v>0</v>
      </c>
      <c r="AQ145" s="45">
        <f t="shared" si="33"/>
        <v>0</v>
      </c>
    </row>
    <row r="146" spans="1:43" ht="15" thickTop="1" thickBot="1" x14ac:dyDescent="0.5">
      <c r="A146" s="68" t="str">
        <f>IF(ISTEXT('Data Sheet'!B146),'Data Sheet'!B146&amp;" "&amp;'Data Sheet'!A146,"")</f>
        <v>JACOBIE HELM</v>
      </c>
      <c r="B146" s="70">
        <f>'Data Sheet'!C146</f>
        <v>144</v>
      </c>
      <c r="C146" s="38"/>
      <c r="D146" s="44">
        <f>'Data Sheet'!E146</f>
        <v>1</v>
      </c>
      <c r="E146" s="44">
        <f>'Data Sheet'!F146</f>
        <v>0</v>
      </c>
      <c r="F146" s="44">
        <f>'Data Sheet'!G146</f>
        <v>1</v>
      </c>
      <c r="G146" s="44">
        <f>'Data Sheet'!H146</f>
        <v>3</v>
      </c>
      <c r="H146" s="44">
        <f>'Data Sheet'!I146</f>
        <v>0</v>
      </c>
      <c r="I146" s="44">
        <f>'Data Sheet'!J146</f>
        <v>1</v>
      </c>
      <c r="J146" s="44">
        <f>'Data Sheet'!K146</f>
        <v>0</v>
      </c>
      <c r="K146" s="44">
        <f>'Data Sheet'!L146</f>
        <v>0</v>
      </c>
      <c r="L146" s="44">
        <f>'Data Sheet'!M146</f>
        <v>0</v>
      </c>
      <c r="M146" s="5"/>
      <c r="N146" s="44">
        <f>'Data Sheet'!O146</f>
        <v>0</v>
      </c>
      <c r="O146" s="44">
        <f>'Data Sheet'!P146</f>
        <v>0</v>
      </c>
      <c r="P146" s="44">
        <f>'Data Sheet'!Q146</f>
        <v>0</v>
      </c>
      <c r="Q146" s="44">
        <f>'Data Sheet'!R146</f>
        <v>0</v>
      </c>
      <c r="R146" s="44">
        <f>'Data Sheet'!S146</f>
        <v>0</v>
      </c>
      <c r="S146" s="44">
        <f>'Data Sheet'!T146</f>
        <v>0</v>
      </c>
      <c r="T146" s="44">
        <f>'Data Sheet'!U146</f>
        <v>1</v>
      </c>
      <c r="U146" s="44">
        <f>'Data Sheet'!V146</f>
        <v>0</v>
      </c>
      <c r="V146" s="5"/>
      <c r="W146" s="16" t="str">
        <f t="shared" si="23"/>
        <v>IEP</v>
      </c>
      <c r="X146" s="10">
        <v>0</v>
      </c>
      <c r="Y146" s="11">
        <v>0</v>
      </c>
      <c r="Z146" s="11">
        <v>0</v>
      </c>
      <c r="AA146" s="11">
        <v>0</v>
      </c>
      <c r="AB146" s="11">
        <v>0</v>
      </c>
      <c r="AC146" s="11">
        <v>0</v>
      </c>
      <c r="AD146" s="11">
        <v>1</v>
      </c>
      <c r="AE146" s="12">
        <v>0</v>
      </c>
      <c r="AG146" s="45">
        <f t="shared" si="26"/>
        <v>1</v>
      </c>
      <c r="AH146" s="45">
        <f t="shared" si="24"/>
        <v>1</v>
      </c>
      <c r="AI146" s="45">
        <f t="shared" si="27"/>
        <v>1</v>
      </c>
      <c r="AJ146" s="45">
        <f t="shared" si="28"/>
        <v>1</v>
      </c>
      <c r="AK146" s="45">
        <f t="shared" si="25"/>
        <v>1</v>
      </c>
      <c r="AL146" s="1">
        <f t="shared" si="34"/>
        <v>1</v>
      </c>
      <c r="AM146" s="1">
        <f t="shared" si="30"/>
        <v>0</v>
      </c>
      <c r="AO146" s="45">
        <f t="shared" si="31"/>
        <v>1</v>
      </c>
      <c r="AP146" s="45">
        <f t="shared" si="32"/>
        <v>1</v>
      </c>
      <c r="AQ146" s="45">
        <f t="shared" si="33"/>
        <v>0</v>
      </c>
    </row>
    <row r="147" spans="1:43" ht="15" thickTop="1" thickBot="1" x14ac:dyDescent="0.5">
      <c r="A147" s="68" t="str">
        <f>IF(ISTEXT('Data Sheet'!B147),'Data Sheet'!B147&amp;" "&amp;'Data Sheet'!A147,"")</f>
        <v>ETHAN SAAR</v>
      </c>
      <c r="B147" s="70">
        <f>'Data Sheet'!C147</f>
        <v>145</v>
      </c>
      <c r="C147" s="38"/>
      <c r="D147" s="44">
        <f>'Data Sheet'!E147</f>
        <v>1</v>
      </c>
      <c r="E147" s="44">
        <f>'Data Sheet'!F147</f>
        <v>0</v>
      </c>
      <c r="F147" s="44">
        <f>'Data Sheet'!G147</f>
        <v>1</v>
      </c>
      <c r="G147" s="44">
        <f>'Data Sheet'!H147</f>
        <v>2</v>
      </c>
      <c r="H147" s="44">
        <f>'Data Sheet'!I147</f>
        <v>0</v>
      </c>
      <c r="I147" s="44">
        <f>'Data Sheet'!J147</f>
        <v>0</v>
      </c>
      <c r="J147" s="44">
        <f>'Data Sheet'!K147</f>
        <v>0</v>
      </c>
      <c r="K147" s="44">
        <f>'Data Sheet'!L147</f>
        <v>0</v>
      </c>
      <c r="L147" s="44">
        <f>'Data Sheet'!M147</f>
        <v>0</v>
      </c>
      <c r="M147" s="5"/>
      <c r="N147" s="44">
        <f>'Data Sheet'!O147</f>
        <v>0</v>
      </c>
      <c r="O147" s="44">
        <f>'Data Sheet'!P147</f>
        <v>0</v>
      </c>
      <c r="P147" s="44">
        <f>'Data Sheet'!Q147</f>
        <v>0</v>
      </c>
      <c r="Q147" s="44">
        <f>'Data Sheet'!R147</f>
        <v>0</v>
      </c>
      <c r="R147" s="44">
        <f>'Data Sheet'!S147</f>
        <v>0</v>
      </c>
      <c r="S147" s="44">
        <f>'Data Sheet'!T147</f>
        <v>0</v>
      </c>
      <c r="T147" s="44">
        <f>'Data Sheet'!U147</f>
        <v>0</v>
      </c>
      <c r="U147" s="44">
        <f>'Data Sheet'!V147</f>
        <v>0</v>
      </c>
      <c r="V147" s="5"/>
      <c r="W147" s="16" t="str">
        <f t="shared" si="23"/>
        <v/>
      </c>
      <c r="X147" s="10">
        <v>0</v>
      </c>
      <c r="Y147" s="11">
        <v>0</v>
      </c>
      <c r="Z147" s="11">
        <v>0</v>
      </c>
      <c r="AA147" s="11">
        <v>0</v>
      </c>
      <c r="AB147" s="11">
        <v>1</v>
      </c>
      <c r="AC147" s="11">
        <v>0</v>
      </c>
      <c r="AD147" s="11">
        <v>0</v>
      </c>
      <c r="AE147" s="12">
        <v>0</v>
      </c>
      <c r="AG147" s="45">
        <f t="shared" si="26"/>
        <v>1</v>
      </c>
      <c r="AH147" s="45">
        <f t="shared" si="24"/>
        <v>1</v>
      </c>
      <c r="AI147" s="45">
        <f t="shared" si="27"/>
        <v>0</v>
      </c>
      <c r="AJ147" s="45">
        <f t="shared" si="28"/>
        <v>0</v>
      </c>
      <c r="AK147" s="45">
        <f t="shared" si="25"/>
        <v>0</v>
      </c>
      <c r="AL147" s="1">
        <f t="shared" si="34"/>
        <v>0</v>
      </c>
      <c r="AM147" s="1">
        <f t="shared" si="30"/>
        <v>0</v>
      </c>
      <c r="AO147" s="45">
        <f t="shared" si="31"/>
        <v>0</v>
      </c>
      <c r="AP147" s="45">
        <f t="shared" si="32"/>
        <v>0</v>
      </c>
      <c r="AQ147" s="45">
        <f t="shared" si="33"/>
        <v>0</v>
      </c>
    </row>
    <row r="148" spans="1:43" ht="15" thickTop="1" thickBot="1" x14ac:dyDescent="0.5">
      <c r="A148" s="68" t="str">
        <f>IF(ISTEXT('Data Sheet'!B148),'Data Sheet'!B148&amp;" "&amp;'Data Sheet'!A148,"")</f>
        <v>HA'NI CARTER</v>
      </c>
      <c r="B148" s="70">
        <f>'Data Sheet'!C148</f>
        <v>146</v>
      </c>
      <c r="C148" s="38"/>
      <c r="D148" s="44">
        <f>'Data Sheet'!E148</f>
        <v>1</v>
      </c>
      <c r="E148" s="44">
        <f>'Data Sheet'!F148</f>
        <v>1</v>
      </c>
      <c r="F148" s="44">
        <f>'Data Sheet'!G148</f>
        <v>1</v>
      </c>
      <c r="G148" s="44">
        <f>'Data Sheet'!H148</f>
        <v>2</v>
      </c>
      <c r="H148" s="44">
        <f>'Data Sheet'!I148</f>
        <v>1</v>
      </c>
      <c r="I148" s="44">
        <f>'Data Sheet'!J148</f>
        <v>0</v>
      </c>
      <c r="J148" s="44">
        <f>'Data Sheet'!K148</f>
        <v>0</v>
      </c>
      <c r="K148" s="44">
        <f>'Data Sheet'!L148</f>
        <v>0</v>
      </c>
      <c r="L148" s="44">
        <f>'Data Sheet'!M148</f>
        <v>0</v>
      </c>
      <c r="M148" s="5"/>
      <c r="N148" s="44">
        <f>'Data Sheet'!O148</f>
        <v>0</v>
      </c>
      <c r="O148" s="44">
        <f>'Data Sheet'!P148</f>
        <v>0</v>
      </c>
      <c r="P148" s="44">
        <f>'Data Sheet'!Q148</f>
        <v>0</v>
      </c>
      <c r="Q148" s="44">
        <f>'Data Sheet'!R148</f>
        <v>0</v>
      </c>
      <c r="R148" s="44">
        <f>'Data Sheet'!S148</f>
        <v>0</v>
      </c>
      <c r="S148" s="44">
        <f>'Data Sheet'!T148</f>
        <v>0</v>
      </c>
      <c r="T148" s="44">
        <f>'Data Sheet'!U148</f>
        <v>0</v>
      </c>
      <c r="U148" s="44">
        <f>'Data Sheet'!V148</f>
        <v>0</v>
      </c>
      <c r="V148" s="5"/>
      <c r="W148" s="16" t="str">
        <f t="shared" si="23"/>
        <v/>
      </c>
      <c r="X148" s="10">
        <v>1</v>
      </c>
      <c r="Y148" s="11">
        <v>0</v>
      </c>
      <c r="Z148" s="11">
        <v>0</v>
      </c>
      <c r="AA148" s="11">
        <v>0</v>
      </c>
      <c r="AB148" s="11">
        <v>0</v>
      </c>
      <c r="AC148" s="11">
        <v>0</v>
      </c>
      <c r="AD148" s="11">
        <v>0</v>
      </c>
      <c r="AE148" s="12">
        <v>0</v>
      </c>
      <c r="AG148" s="45">
        <f t="shared" si="26"/>
        <v>1</v>
      </c>
      <c r="AH148" s="45">
        <f t="shared" si="24"/>
        <v>1</v>
      </c>
      <c r="AI148" s="45">
        <f t="shared" si="27"/>
        <v>0</v>
      </c>
      <c r="AJ148" s="45">
        <f t="shared" si="28"/>
        <v>0</v>
      </c>
      <c r="AK148" s="45">
        <f t="shared" si="25"/>
        <v>0</v>
      </c>
      <c r="AL148" s="1">
        <f t="shared" si="34"/>
        <v>0</v>
      </c>
      <c r="AM148" s="1">
        <f t="shared" si="30"/>
        <v>0</v>
      </c>
      <c r="AO148" s="45">
        <f t="shared" si="31"/>
        <v>0</v>
      </c>
      <c r="AP148" s="45">
        <f t="shared" si="32"/>
        <v>0</v>
      </c>
      <c r="AQ148" s="45">
        <f t="shared" si="33"/>
        <v>0</v>
      </c>
    </row>
    <row r="149" spans="1:43" ht="15" thickTop="1" thickBot="1" x14ac:dyDescent="0.5">
      <c r="A149" s="68" t="str">
        <f>IF(ISTEXT('Data Sheet'!B149),'Data Sheet'!B149&amp;" "&amp;'Data Sheet'!A149,"")</f>
        <v>TYKIR SMITH</v>
      </c>
      <c r="B149" s="70">
        <f>'Data Sheet'!C149</f>
        <v>147</v>
      </c>
      <c r="C149" s="38"/>
      <c r="D149" s="44">
        <f>'Data Sheet'!E149</f>
        <v>1</v>
      </c>
      <c r="E149" s="44">
        <f>'Data Sheet'!F149</f>
        <v>1</v>
      </c>
      <c r="F149" s="44">
        <f>'Data Sheet'!G149</f>
        <v>1</v>
      </c>
      <c r="G149" s="44">
        <f>'Data Sheet'!H149</f>
        <v>1</v>
      </c>
      <c r="H149" s="44">
        <f>'Data Sheet'!I149</f>
        <v>1</v>
      </c>
      <c r="I149" s="44">
        <f>'Data Sheet'!J149</f>
        <v>1</v>
      </c>
      <c r="J149" s="44">
        <f>'Data Sheet'!K149</f>
        <v>0</v>
      </c>
      <c r="K149" s="44">
        <f>'Data Sheet'!L149</f>
        <v>0</v>
      </c>
      <c r="L149" s="44">
        <f>'Data Sheet'!M149</f>
        <v>0</v>
      </c>
      <c r="M149" s="5"/>
      <c r="N149" s="44">
        <f>'Data Sheet'!O149</f>
        <v>0</v>
      </c>
      <c r="O149" s="44">
        <f>'Data Sheet'!P149</f>
        <v>0</v>
      </c>
      <c r="P149" s="44">
        <f>'Data Sheet'!Q149</f>
        <v>0</v>
      </c>
      <c r="Q149" s="44">
        <f>'Data Sheet'!R149</f>
        <v>0</v>
      </c>
      <c r="R149" s="44">
        <f>'Data Sheet'!S149</f>
        <v>0</v>
      </c>
      <c r="S149" s="44">
        <f>'Data Sheet'!T149</f>
        <v>1</v>
      </c>
      <c r="T149" s="44">
        <f>'Data Sheet'!U149</f>
        <v>0</v>
      </c>
      <c r="U149" s="44">
        <f>'Data Sheet'!V149</f>
        <v>0</v>
      </c>
      <c r="V149" s="5"/>
      <c r="W149" s="16" t="str">
        <f t="shared" si="23"/>
        <v>IEP</v>
      </c>
      <c r="X149" s="10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1</v>
      </c>
      <c r="AD149" s="11">
        <v>0</v>
      </c>
      <c r="AE149" s="12">
        <v>0</v>
      </c>
      <c r="AG149" s="45">
        <f t="shared" si="26"/>
        <v>1</v>
      </c>
      <c r="AH149" s="45">
        <f t="shared" si="24"/>
        <v>1</v>
      </c>
      <c r="AI149" s="45">
        <f t="shared" si="27"/>
        <v>1</v>
      </c>
      <c r="AJ149" s="45">
        <f t="shared" si="28"/>
        <v>1</v>
      </c>
      <c r="AK149" s="45">
        <f t="shared" si="25"/>
        <v>1</v>
      </c>
      <c r="AL149" s="1">
        <f t="shared" si="34"/>
        <v>1</v>
      </c>
      <c r="AM149" s="1">
        <f t="shared" si="30"/>
        <v>0</v>
      </c>
      <c r="AO149" s="45">
        <f t="shared" si="31"/>
        <v>1</v>
      </c>
      <c r="AP149" s="45">
        <f t="shared" si="32"/>
        <v>1</v>
      </c>
      <c r="AQ149" s="45">
        <f t="shared" si="33"/>
        <v>0</v>
      </c>
    </row>
    <row r="150" spans="1:43" ht="15" thickTop="1" thickBot="1" x14ac:dyDescent="0.5">
      <c r="A150" s="68" t="str">
        <f>IF(ISTEXT('Data Sheet'!B150),'Data Sheet'!B150&amp;" "&amp;'Data Sheet'!A150,"")</f>
        <v>ZIARA CONEY</v>
      </c>
      <c r="B150" s="70">
        <f>'Data Sheet'!C150</f>
        <v>148</v>
      </c>
      <c r="C150" s="38"/>
      <c r="D150" s="44">
        <f>'Data Sheet'!E150</f>
        <v>0</v>
      </c>
      <c r="E150" s="44">
        <f>'Data Sheet'!F150</f>
        <v>1</v>
      </c>
      <c r="F150" s="44">
        <f>'Data Sheet'!G150</f>
        <v>1</v>
      </c>
      <c r="G150" s="44">
        <f>'Data Sheet'!H150</f>
        <v>2</v>
      </c>
      <c r="H150" s="44">
        <f>'Data Sheet'!I150</f>
        <v>0</v>
      </c>
      <c r="I150" s="44">
        <f>'Data Sheet'!J150</f>
        <v>0</v>
      </c>
      <c r="J150" s="44">
        <f>'Data Sheet'!K150</f>
        <v>0</v>
      </c>
      <c r="K150" s="44">
        <f>'Data Sheet'!L150</f>
        <v>0</v>
      </c>
      <c r="L150" s="44">
        <f>'Data Sheet'!M150</f>
        <v>0</v>
      </c>
      <c r="M150" s="5"/>
      <c r="N150" s="44">
        <f>'Data Sheet'!O150</f>
        <v>0</v>
      </c>
      <c r="O150" s="44">
        <f>'Data Sheet'!P150</f>
        <v>0</v>
      </c>
      <c r="P150" s="44">
        <f>'Data Sheet'!Q150</f>
        <v>0</v>
      </c>
      <c r="Q150" s="44">
        <f>'Data Sheet'!R150</f>
        <v>0</v>
      </c>
      <c r="R150" s="44">
        <f>'Data Sheet'!S150</f>
        <v>0</v>
      </c>
      <c r="S150" s="44">
        <f>'Data Sheet'!T150</f>
        <v>0</v>
      </c>
      <c r="T150" s="44">
        <f>'Data Sheet'!U150</f>
        <v>0</v>
      </c>
      <c r="U150" s="44">
        <f>'Data Sheet'!V150</f>
        <v>0</v>
      </c>
      <c r="V150" s="5"/>
      <c r="W150" s="16" t="str">
        <f t="shared" si="23"/>
        <v/>
      </c>
      <c r="X150" s="10">
        <v>0</v>
      </c>
      <c r="Y150" s="11">
        <v>1</v>
      </c>
      <c r="Z150" s="11">
        <v>0</v>
      </c>
      <c r="AA150" s="11">
        <v>0</v>
      </c>
      <c r="AB150" s="11">
        <v>0</v>
      </c>
      <c r="AC150" s="11">
        <v>0</v>
      </c>
      <c r="AD150" s="11">
        <v>0</v>
      </c>
      <c r="AE150" s="12">
        <v>0</v>
      </c>
      <c r="AG150" s="45">
        <f t="shared" si="26"/>
        <v>1</v>
      </c>
      <c r="AH150" s="45">
        <f t="shared" si="24"/>
        <v>1</v>
      </c>
      <c r="AI150" s="45">
        <f t="shared" si="27"/>
        <v>0</v>
      </c>
      <c r="AJ150" s="45">
        <f t="shared" si="28"/>
        <v>0</v>
      </c>
      <c r="AK150" s="45">
        <f t="shared" si="25"/>
        <v>0</v>
      </c>
      <c r="AL150" s="1">
        <f t="shared" si="34"/>
        <v>0</v>
      </c>
      <c r="AM150" s="1">
        <f t="shared" si="30"/>
        <v>0</v>
      </c>
      <c r="AO150" s="45">
        <f t="shared" si="31"/>
        <v>0</v>
      </c>
      <c r="AP150" s="45">
        <f t="shared" si="32"/>
        <v>0</v>
      </c>
      <c r="AQ150" s="45">
        <f t="shared" si="33"/>
        <v>0</v>
      </c>
    </row>
    <row r="151" spans="1:43" ht="15" thickTop="1" thickBot="1" x14ac:dyDescent="0.5">
      <c r="A151" s="68" t="str">
        <f>IF(ISTEXT('Data Sheet'!B151),'Data Sheet'!B151&amp;" "&amp;'Data Sheet'!A151,"")</f>
        <v>MARLIN CARPENTER</v>
      </c>
      <c r="B151" s="70">
        <f>'Data Sheet'!C151</f>
        <v>149</v>
      </c>
      <c r="C151" s="38"/>
      <c r="D151" s="44">
        <f>'Data Sheet'!E151</f>
        <v>1</v>
      </c>
      <c r="E151" s="44">
        <f>'Data Sheet'!F151</f>
        <v>0</v>
      </c>
      <c r="F151" s="44">
        <f>'Data Sheet'!G151</f>
        <v>1</v>
      </c>
      <c r="G151" s="44">
        <f>'Data Sheet'!H151</f>
        <v>4</v>
      </c>
      <c r="H151" s="44">
        <f>'Data Sheet'!I151</f>
        <v>0</v>
      </c>
      <c r="I151" s="44">
        <f>'Data Sheet'!J151</f>
        <v>1</v>
      </c>
      <c r="J151" s="44">
        <f>'Data Sheet'!K151</f>
        <v>0</v>
      </c>
      <c r="K151" s="44">
        <f>'Data Sheet'!L151</f>
        <v>0</v>
      </c>
      <c r="L151" s="44">
        <f>'Data Sheet'!M151</f>
        <v>0</v>
      </c>
      <c r="M151" s="5"/>
      <c r="N151" s="44">
        <f>'Data Sheet'!O151</f>
        <v>0</v>
      </c>
      <c r="O151" s="44">
        <f>'Data Sheet'!P151</f>
        <v>0</v>
      </c>
      <c r="P151" s="44">
        <f>'Data Sheet'!Q151</f>
        <v>0</v>
      </c>
      <c r="Q151" s="44">
        <f>'Data Sheet'!R151</f>
        <v>0</v>
      </c>
      <c r="R151" s="44">
        <f>'Data Sheet'!S151</f>
        <v>0</v>
      </c>
      <c r="S151" s="44">
        <f>'Data Sheet'!T151</f>
        <v>0</v>
      </c>
      <c r="T151" s="44">
        <f>'Data Sheet'!U151</f>
        <v>1</v>
      </c>
      <c r="U151" s="44">
        <f>'Data Sheet'!V151</f>
        <v>0</v>
      </c>
      <c r="V151" s="5"/>
      <c r="W151" s="16" t="str">
        <f t="shared" si="23"/>
        <v>IEP</v>
      </c>
      <c r="X151" s="10">
        <v>0</v>
      </c>
      <c r="Y151" s="11">
        <v>0</v>
      </c>
      <c r="Z151" s="11">
        <v>0</v>
      </c>
      <c r="AA151" s="11">
        <v>0</v>
      </c>
      <c r="AB151" s="11">
        <v>0</v>
      </c>
      <c r="AC151" s="11">
        <v>0</v>
      </c>
      <c r="AD151" s="11">
        <v>1</v>
      </c>
      <c r="AE151" s="12">
        <v>0</v>
      </c>
      <c r="AG151" s="45">
        <f t="shared" si="26"/>
        <v>1</v>
      </c>
      <c r="AH151" s="45">
        <f t="shared" si="24"/>
        <v>1</v>
      </c>
      <c r="AI151" s="45">
        <f t="shared" si="27"/>
        <v>1</v>
      </c>
      <c r="AJ151" s="45">
        <f t="shared" si="28"/>
        <v>1</v>
      </c>
      <c r="AK151" s="45">
        <f t="shared" si="25"/>
        <v>1</v>
      </c>
      <c r="AL151" s="1">
        <f t="shared" si="34"/>
        <v>1</v>
      </c>
      <c r="AM151" s="1">
        <f t="shared" si="30"/>
        <v>0</v>
      </c>
      <c r="AO151" s="45">
        <f t="shared" si="31"/>
        <v>1</v>
      </c>
      <c r="AP151" s="45">
        <f t="shared" si="32"/>
        <v>1</v>
      </c>
      <c r="AQ151" s="45">
        <f t="shared" si="33"/>
        <v>0</v>
      </c>
    </row>
    <row r="152" spans="1:43" ht="15" thickTop="1" thickBot="1" x14ac:dyDescent="0.5">
      <c r="A152" s="68" t="str">
        <f>IF(ISTEXT('Data Sheet'!B152),'Data Sheet'!B152&amp;" "&amp;'Data Sheet'!A152,"")</f>
        <v>EDEN HUFF</v>
      </c>
      <c r="B152" s="70">
        <f>'Data Sheet'!C152</f>
        <v>150</v>
      </c>
      <c r="C152" s="38"/>
      <c r="D152" s="44">
        <f>'Data Sheet'!E152</f>
        <v>0</v>
      </c>
      <c r="E152" s="44">
        <f>'Data Sheet'!F152</f>
        <v>1</v>
      </c>
      <c r="F152" s="44">
        <f>'Data Sheet'!G152</f>
        <v>3</v>
      </c>
      <c r="G152" s="44">
        <f>'Data Sheet'!H152</f>
        <v>3</v>
      </c>
      <c r="H152" s="44">
        <f>'Data Sheet'!I152</f>
        <v>0</v>
      </c>
      <c r="I152" s="44">
        <f>'Data Sheet'!J152</f>
        <v>0</v>
      </c>
      <c r="J152" s="44">
        <f>'Data Sheet'!K152</f>
        <v>0</v>
      </c>
      <c r="K152" s="44">
        <f>'Data Sheet'!L152</f>
        <v>0</v>
      </c>
      <c r="L152" s="44">
        <f>'Data Sheet'!M152</f>
        <v>0</v>
      </c>
      <c r="M152" s="5"/>
      <c r="N152" s="44">
        <f>'Data Sheet'!O152</f>
        <v>0</v>
      </c>
      <c r="O152" s="44">
        <f>'Data Sheet'!P152</f>
        <v>0</v>
      </c>
      <c r="P152" s="44">
        <f>'Data Sheet'!Q152</f>
        <v>0</v>
      </c>
      <c r="Q152" s="44">
        <f>'Data Sheet'!R152</f>
        <v>0</v>
      </c>
      <c r="R152" s="44">
        <f>'Data Sheet'!S152</f>
        <v>0</v>
      </c>
      <c r="S152" s="44">
        <f>'Data Sheet'!T152</f>
        <v>0</v>
      </c>
      <c r="T152" s="44">
        <f>'Data Sheet'!U152</f>
        <v>1</v>
      </c>
      <c r="U152" s="44">
        <f>'Data Sheet'!V152</f>
        <v>0</v>
      </c>
      <c r="V152" s="5"/>
      <c r="W152" s="16" t="str">
        <f t="shared" si="23"/>
        <v/>
      </c>
      <c r="X152" s="10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1</v>
      </c>
      <c r="AE152" s="12">
        <v>0</v>
      </c>
      <c r="AG152" s="45">
        <f t="shared" si="26"/>
        <v>1</v>
      </c>
      <c r="AH152" s="45">
        <f t="shared" si="24"/>
        <v>1</v>
      </c>
      <c r="AI152" s="45">
        <f t="shared" si="27"/>
        <v>0</v>
      </c>
      <c r="AJ152" s="45">
        <f t="shared" si="28"/>
        <v>0</v>
      </c>
      <c r="AK152" s="45">
        <f t="shared" si="25"/>
        <v>1</v>
      </c>
      <c r="AL152" s="1">
        <f t="shared" si="34"/>
        <v>1</v>
      </c>
      <c r="AM152" s="1">
        <f t="shared" si="30"/>
        <v>0</v>
      </c>
      <c r="AO152" s="45">
        <f t="shared" si="31"/>
        <v>1</v>
      </c>
      <c r="AP152" s="45">
        <f t="shared" si="32"/>
        <v>1</v>
      </c>
      <c r="AQ152" s="45">
        <f t="shared" si="33"/>
        <v>0</v>
      </c>
    </row>
    <row r="153" spans="1:43" ht="15" thickTop="1" thickBot="1" x14ac:dyDescent="0.5">
      <c r="A153" s="68" t="str">
        <f>IF(ISTEXT('Data Sheet'!B153),'Data Sheet'!B153&amp;" "&amp;'Data Sheet'!A153,"")</f>
        <v>Juana Hanna</v>
      </c>
      <c r="B153" s="70">
        <f>'Data Sheet'!C153</f>
        <v>151</v>
      </c>
      <c r="C153" s="38"/>
      <c r="D153" s="44">
        <f>'Data Sheet'!E153</f>
        <v>0</v>
      </c>
      <c r="E153" s="44">
        <f>'Data Sheet'!F153</f>
        <v>1</v>
      </c>
      <c r="F153" s="44">
        <f>'Data Sheet'!G153</f>
        <v>1</v>
      </c>
      <c r="G153" s="44">
        <f>'Data Sheet'!H153</f>
        <v>3</v>
      </c>
      <c r="H153" s="44">
        <f>'Data Sheet'!I153</f>
        <v>0</v>
      </c>
      <c r="I153" s="44">
        <f>'Data Sheet'!J153</f>
        <v>1</v>
      </c>
      <c r="J153" s="44">
        <f>'Data Sheet'!K153</f>
        <v>0</v>
      </c>
      <c r="K153" s="44">
        <f>'Data Sheet'!L153</f>
        <v>0</v>
      </c>
      <c r="L153" s="44">
        <f>'Data Sheet'!M153</f>
        <v>0</v>
      </c>
      <c r="M153" s="5"/>
      <c r="N153" s="44">
        <f>'Data Sheet'!O153</f>
        <v>0</v>
      </c>
      <c r="O153" s="44">
        <f>'Data Sheet'!P153</f>
        <v>0</v>
      </c>
      <c r="P153" s="44">
        <f>'Data Sheet'!Q153</f>
        <v>1</v>
      </c>
      <c r="Q153" s="44">
        <f>'Data Sheet'!R153</f>
        <v>0</v>
      </c>
      <c r="R153" s="44">
        <f>'Data Sheet'!S153</f>
        <v>0</v>
      </c>
      <c r="S153" s="44">
        <f>'Data Sheet'!T153</f>
        <v>0</v>
      </c>
      <c r="T153" s="44">
        <f>'Data Sheet'!U153</f>
        <v>0</v>
      </c>
      <c r="U153" s="44">
        <f>'Data Sheet'!V153</f>
        <v>0</v>
      </c>
      <c r="V153" s="5"/>
      <c r="W153" s="16" t="str">
        <f t="shared" si="23"/>
        <v>IEP</v>
      </c>
      <c r="X153" s="10">
        <v>0</v>
      </c>
      <c r="Y153" s="11">
        <v>0</v>
      </c>
      <c r="Z153" s="11">
        <v>1</v>
      </c>
      <c r="AA153" s="11">
        <v>0</v>
      </c>
      <c r="AB153" s="11">
        <v>0</v>
      </c>
      <c r="AC153" s="11">
        <v>0</v>
      </c>
      <c r="AD153" s="11">
        <v>0</v>
      </c>
      <c r="AE153" s="12">
        <v>0</v>
      </c>
      <c r="AG153" s="45">
        <f t="shared" si="26"/>
        <v>1</v>
      </c>
      <c r="AH153" s="45">
        <f t="shared" si="24"/>
        <v>1</v>
      </c>
      <c r="AI153" s="45">
        <f t="shared" si="27"/>
        <v>1</v>
      </c>
      <c r="AJ153" s="45">
        <f t="shared" si="28"/>
        <v>1</v>
      </c>
      <c r="AK153" s="45">
        <f t="shared" si="25"/>
        <v>1</v>
      </c>
      <c r="AL153" s="1">
        <f t="shared" si="34"/>
        <v>1</v>
      </c>
      <c r="AM153" s="1">
        <f t="shared" si="30"/>
        <v>0</v>
      </c>
      <c r="AO153" s="45">
        <f t="shared" si="31"/>
        <v>1</v>
      </c>
      <c r="AP153" s="45">
        <f t="shared" si="32"/>
        <v>1</v>
      </c>
      <c r="AQ153" s="45">
        <f t="shared" si="33"/>
        <v>0</v>
      </c>
    </row>
    <row r="154" spans="1:43" ht="15" thickTop="1" thickBot="1" x14ac:dyDescent="0.5">
      <c r="A154" s="68" t="str">
        <f>IF(ISTEXT('Data Sheet'!B154),'Data Sheet'!B154&amp;" "&amp;'Data Sheet'!A154,"")</f>
        <v/>
      </c>
      <c r="B154" s="70">
        <f>'Data Sheet'!C154</f>
        <v>152</v>
      </c>
      <c r="C154" s="38"/>
      <c r="D154" s="44">
        <f>'Data Sheet'!E154</f>
        <v>0</v>
      </c>
      <c r="E154" s="44">
        <f>'Data Sheet'!F154</f>
        <v>0</v>
      </c>
      <c r="F154" s="44">
        <f>'Data Sheet'!G154</f>
        <v>0</v>
      </c>
      <c r="G154" s="44">
        <f>'Data Sheet'!H154</f>
        <v>0</v>
      </c>
      <c r="H154" s="44">
        <f>'Data Sheet'!I154</f>
        <v>0</v>
      </c>
      <c r="I154" s="44">
        <f>'Data Sheet'!J154</f>
        <v>0</v>
      </c>
      <c r="J154" s="44">
        <f>'Data Sheet'!K154</f>
        <v>0</v>
      </c>
      <c r="K154" s="44">
        <f>'Data Sheet'!L154</f>
        <v>0</v>
      </c>
      <c r="L154" s="44">
        <f>'Data Sheet'!M154</f>
        <v>0</v>
      </c>
      <c r="M154" s="5"/>
      <c r="N154" s="44">
        <f>'Data Sheet'!O154</f>
        <v>0</v>
      </c>
      <c r="O154" s="44">
        <f>'Data Sheet'!P154</f>
        <v>0</v>
      </c>
      <c r="P154" s="44">
        <f>'Data Sheet'!Q154</f>
        <v>0</v>
      </c>
      <c r="Q154" s="44">
        <f>'Data Sheet'!R154</f>
        <v>0</v>
      </c>
      <c r="R154" s="44">
        <f>'Data Sheet'!S154</f>
        <v>0</v>
      </c>
      <c r="S154" s="44">
        <f>'Data Sheet'!T154</f>
        <v>0</v>
      </c>
      <c r="T154" s="44">
        <f>'Data Sheet'!U154</f>
        <v>0</v>
      </c>
      <c r="U154" s="44">
        <f>'Data Sheet'!V154</f>
        <v>0</v>
      </c>
      <c r="V154" s="5"/>
      <c r="W154" s="16" t="str">
        <f t="shared" si="23"/>
        <v/>
      </c>
      <c r="X154" s="10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2">
        <v>0</v>
      </c>
      <c r="AG154" s="45">
        <f t="shared" si="26"/>
        <v>0</v>
      </c>
      <c r="AH154" s="45">
        <f t="shared" si="24"/>
        <v>0</v>
      </c>
      <c r="AI154" s="45">
        <f t="shared" si="27"/>
        <v>0</v>
      </c>
      <c r="AJ154" s="45">
        <f t="shared" si="28"/>
        <v>0</v>
      </c>
      <c r="AK154" s="45">
        <f t="shared" si="25"/>
        <v>0</v>
      </c>
      <c r="AL154" s="1">
        <f t="shared" si="34"/>
        <v>0</v>
      </c>
      <c r="AM154" s="1">
        <f t="shared" si="30"/>
        <v>0</v>
      </c>
      <c r="AO154" s="45">
        <f t="shared" si="31"/>
        <v>0</v>
      </c>
      <c r="AP154" s="45">
        <f t="shared" si="32"/>
        <v>0</v>
      </c>
      <c r="AQ154" s="45">
        <f t="shared" si="33"/>
        <v>0</v>
      </c>
    </row>
    <row r="155" spans="1:43" ht="15" thickTop="1" thickBot="1" x14ac:dyDescent="0.5">
      <c r="A155" s="68" t="str">
        <f>IF(ISTEXT('Data Sheet'!B155),'Data Sheet'!B155&amp;" "&amp;'Data Sheet'!A155,"")</f>
        <v/>
      </c>
      <c r="B155" s="70">
        <f>'Data Sheet'!C155</f>
        <v>153</v>
      </c>
      <c r="C155" s="38"/>
      <c r="D155" s="44">
        <f>'Data Sheet'!E155</f>
        <v>0</v>
      </c>
      <c r="E155" s="44">
        <f>'Data Sheet'!F155</f>
        <v>0</v>
      </c>
      <c r="F155" s="44">
        <f>'Data Sheet'!G155</f>
        <v>0</v>
      </c>
      <c r="G155" s="44">
        <f>'Data Sheet'!H155</f>
        <v>0</v>
      </c>
      <c r="H155" s="44">
        <f>'Data Sheet'!I155</f>
        <v>0</v>
      </c>
      <c r="I155" s="44">
        <f>'Data Sheet'!J155</f>
        <v>0</v>
      </c>
      <c r="J155" s="44">
        <f>'Data Sheet'!K155</f>
        <v>0</v>
      </c>
      <c r="K155" s="44">
        <f>'Data Sheet'!L155</f>
        <v>0</v>
      </c>
      <c r="L155" s="44">
        <f>'Data Sheet'!M155</f>
        <v>0</v>
      </c>
      <c r="M155" s="5"/>
      <c r="N155" s="44">
        <f>'Data Sheet'!O155</f>
        <v>0</v>
      </c>
      <c r="O155" s="44">
        <f>'Data Sheet'!P155</f>
        <v>0</v>
      </c>
      <c r="P155" s="44">
        <f>'Data Sheet'!Q155</f>
        <v>0</v>
      </c>
      <c r="Q155" s="44">
        <f>'Data Sheet'!R155</f>
        <v>0</v>
      </c>
      <c r="R155" s="44">
        <f>'Data Sheet'!S155</f>
        <v>0</v>
      </c>
      <c r="S155" s="44">
        <f>'Data Sheet'!T155</f>
        <v>0</v>
      </c>
      <c r="T155" s="44">
        <f>'Data Sheet'!U155</f>
        <v>0</v>
      </c>
      <c r="U155" s="44">
        <f>'Data Sheet'!V155</f>
        <v>0</v>
      </c>
      <c r="V155" s="5"/>
      <c r="W155" s="16" t="str">
        <f t="shared" si="23"/>
        <v/>
      </c>
      <c r="X155" s="10">
        <v>0</v>
      </c>
      <c r="Y155" s="11">
        <v>0</v>
      </c>
      <c r="Z155" s="11">
        <v>0</v>
      </c>
      <c r="AA155" s="11">
        <v>0</v>
      </c>
      <c r="AB155" s="11">
        <v>0</v>
      </c>
      <c r="AC155" s="11">
        <v>0</v>
      </c>
      <c r="AD155" s="11">
        <v>0</v>
      </c>
      <c r="AE155" s="12">
        <v>0</v>
      </c>
      <c r="AG155" s="45">
        <f t="shared" si="26"/>
        <v>0</v>
      </c>
      <c r="AH155" s="45">
        <f t="shared" si="24"/>
        <v>0</v>
      </c>
      <c r="AI155" s="45">
        <f t="shared" si="27"/>
        <v>0</v>
      </c>
      <c r="AJ155" s="45">
        <f t="shared" si="28"/>
        <v>0</v>
      </c>
      <c r="AK155" s="45">
        <f t="shared" si="25"/>
        <v>0</v>
      </c>
      <c r="AL155" s="1">
        <f t="shared" si="34"/>
        <v>0</v>
      </c>
      <c r="AM155" s="1">
        <f t="shared" si="30"/>
        <v>0</v>
      </c>
      <c r="AO155" s="45">
        <f t="shared" si="31"/>
        <v>0</v>
      </c>
      <c r="AP155" s="45">
        <f t="shared" si="32"/>
        <v>0</v>
      </c>
      <c r="AQ155" s="45">
        <f t="shared" si="33"/>
        <v>0</v>
      </c>
    </row>
    <row r="156" spans="1:43" ht="15" thickTop="1" thickBot="1" x14ac:dyDescent="0.5">
      <c r="A156" s="68" t="str">
        <f>IF(ISTEXT('Data Sheet'!B156),'Data Sheet'!B156&amp;" "&amp;'Data Sheet'!A156,"")</f>
        <v/>
      </c>
      <c r="B156" s="70">
        <f>'Data Sheet'!C156</f>
        <v>154</v>
      </c>
      <c r="C156" s="38"/>
      <c r="D156" s="44">
        <f>'Data Sheet'!E156</f>
        <v>0</v>
      </c>
      <c r="E156" s="44">
        <f>'Data Sheet'!F156</f>
        <v>0</v>
      </c>
      <c r="F156" s="44">
        <f>'Data Sheet'!G156</f>
        <v>0</v>
      </c>
      <c r="G156" s="44">
        <f>'Data Sheet'!H156</f>
        <v>0</v>
      </c>
      <c r="H156" s="44">
        <f>'Data Sheet'!I156</f>
        <v>0</v>
      </c>
      <c r="I156" s="44">
        <f>'Data Sheet'!J156</f>
        <v>0</v>
      </c>
      <c r="J156" s="44">
        <f>'Data Sheet'!K156</f>
        <v>0</v>
      </c>
      <c r="K156" s="44">
        <f>'Data Sheet'!L156</f>
        <v>0</v>
      </c>
      <c r="L156" s="44">
        <f>'Data Sheet'!M156</f>
        <v>0</v>
      </c>
      <c r="M156" s="5"/>
      <c r="N156" s="44">
        <f>'Data Sheet'!O156</f>
        <v>0</v>
      </c>
      <c r="O156" s="44">
        <f>'Data Sheet'!P156</f>
        <v>0</v>
      </c>
      <c r="P156" s="44">
        <f>'Data Sheet'!Q156</f>
        <v>0</v>
      </c>
      <c r="Q156" s="44">
        <f>'Data Sheet'!R156</f>
        <v>0</v>
      </c>
      <c r="R156" s="44">
        <f>'Data Sheet'!S156</f>
        <v>0</v>
      </c>
      <c r="S156" s="44">
        <f>'Data Sheet'!T156</f>
        <v>0</v>
      </c>
      <c r="T156" s="44">
        <f>'Data Sheet'!U156</f>
        <v>0</v>
      </c>
      <c r="U156" s="44">
        <f>'Data Sheet'!V156</f>
        <v>0</v>
      </c>
      <c r="V156" s="5"/>
      <c r="W156" s="16" t="str">
        <f t="shared" si="23"/>
        <v/>
      </c>
      <c r="X156" s="10">
        <v>0</v>
      </c>
      <c r="Y156" s="11">
        <v>0</v>
      </c>
      <c r="Z156" s="11">
        <v>0</v>
      </c>
      <c r="AA156" s="11">
        <v>0</v>
      </c>
      <c r="AB156" s="11">
        <v>0</v>
      </c>
      <c r="AC156" s="11">
        <v>0</v>
      </c>
      <c r="AD156" s="11">
        <v>0</v>
      </c>
      <c r="AE156" s="12">
        <v>0</v>
      </c>
      <c r="AG156" s="45">
        <f t="shared" si="26"/>
        <v>0</v>
      </c>
      <c r="AH156" s="45">
        <f t="shared" si="24"/>
        <v>0</v>
      </c>
      <c r="AI156" s="45">
        <f t="shared" si="27"/>
        <v>0</v>
      </c>
      <c r="AJ156" s="45">
        <f t="shared" si="28"/>
        <v>0</v>
      </c>
      <c r="AK156" s="45">
        <f t="shared" si="25"/>
        <v>0</v>
      </c>
      <c r="AL156" s="1">
        <f t="shared" si="34"/>
        <v>0</v>
      </c>
      <c r="AM156" s="1">
        <f t="shared" si="30"/>
        <v>0</v>
      </c>
      <c r="AO156" s="45">
        <f t="shared" si="31"/>
        <v>0</v>
      </c>
      <c r="AP156" s="45">
        <f t="shared" si="32"/>
        <v>0</v>
      </c>
      <c r="AQ156" s="45">
        <f t="shared" si="33"/>
        <v>0</v>
      </c>
    </row>
    <row r="157" spans="1:43" ht="15" thickTop="1" thickBot="1" x14ac:dyDescent="0.5">
      <c r="A157" s="68" t="str">
        <f>IF(ISTEXT('Data Sheet'!B157),'Data Sheet'!B157&amp;" "&amp;'Data Sheet'!A157,"")</f>
        <v/>
      </c>
      <c r="B157" s="70">
        <f>'Data Sheet'!C157</f>
        <v>155</v>
      </c>
      <c r="C157" s="38"/>
      <c r="D157" s="44">
        <f>'Data Sheet'!E157</f>
        <v>0</v>
      </c>
      <c r="E157" s="44">
        <f>'Data Sheet'!F157</f>
        <v>0</v>
      </c>
      <c r="F157" s="44">
        <f>'Data Sheet'!G157</f>
        <v>0</v>
      </c>
      <c r="G157" s="44">
        <f>'Data Sheet'!H157</f>
        <v>0</v>
      </c>
      <c r="H157" s="44">
        <f>'Data Sheet'!I157</f>
        <v>0</v>
      </c>
      <c r="I157" s="44">
        <f>'Data Sheet'!J157</f>
        <v>0</v>
      </c>
      <c r="J157" s="44">
        <f>'Data Sheet'!K157</f>
        <v>0</v>
      </c>
      <c r="K157" s="44">
        <f>'Data Sheet'!L157</f>
        <v>0</v>
      </c>
      <c r="L157" s="44">
        <f>'Data Sheet'!M157</f>
        <v>0</v>
      </c>
      <c r="M157" s="5"/>
      <c r="N157" s="44">
        <f>'Data Sheet'!O157</f>
        <v>0</v>
      </c>
      <c r="O157" s="44">
        <f>'Data Sheet'!P157</f>
        <v>0</v>
      </c>
      <c r="P157" s="44">
        <f>'Data Sheet'!Q157</f>
        <v>0</v>
      </c>
      <c r="Q157" s="44">
        <f>'Data Sheet'!R157</f>
        <v>0</v>
      </c>
      <c r="R157" s="44">
        <f>'Data Sheet'!S157</f>
        <v>0</v>
      </c>
      <c r="S157" s="44">
        <f>'Data Sheet'!T157</f>
        <v>0</v>
      </c>
      <c r="T157" s="44">
        <f>'Data Sheet'!U157</f>
        <v>0</v>
      </c>
      <c r="U157" s="44">
        <f>'Data Sheet'!V157</f>
        <v>0</v>
      </c>
      <c r="V157" s="5"/>
      <c r="W157" s="16" t="str">
        <f t="shared" si="23"/>
        <v/>
      </c>
      <c r="X157" s="10">
        <v>0</v>
      </c>
      <c r="Y157" s="11">
        <v>0</v>
      </c>
      <c r="Z157" s="11">
        <v>0</v>
      </c>
      <c r="AA157" s="11">
        <v>0</v>
      </c>
      <c r="AB157" s="11">
        <v>0</v>
      </c>
      <c r="AC157" s="11">
        <v>0</v>
      </c>
      <c r="AD157" s="11">
        <v>0</v>
      </c>
      <c r="AE157" s="12">
        <v>0</v>
      </c>
      <c r="AG157" s="45">
        <f t="shared" si="26"/>
        <v>0</v>
      </c>
      <c r="AH157" s="45">
        <f t="shared" si="24"/>
        <v>0</v>
      </c>
      <c r="AI157" s="45">
        <f t="shared" si="27"/>
        <v>0</v>
      </c>
      <c r="AJ157" s="45">
        <f t="shared" si="28"/>
        <v>0</v>
      </c>
      <c r="AK157" s="45">
        <f t="shared" si="25"/>
        <v>0</v>
      </c>
      <c r="AL157" s="1">
        <f t="shared" si="34"/>
        <v>0</v>
      </c>
      <c r="AM157" s="1">
        <f t="shared" si="30"/>
        <v>0</v>
      </c>
      <c r="AO157" s="45">
        <f t="shared" si="31"/>
        <v>0</v>
      </c>
      <c r="AP157" s="45">
        <f t="shared" si="32"/>
        <v>0</v>
      </c>
      <c r="AQ157" s="45">
        <f t="shared" si="33"/>
        <v>0</v>
      </c>
    </row>
    <row r="158" spans="1:43" ht="15" thickTop="1" thickBot="1" x14ac:dyDescent="0.5">
      <c r="A158" s="68" t="str">
        <f>IF(ISTEXT('Data Sheet'!B158),'Data Sheet'!B158&amp;" "&amp;'Data Sheet'!A158,"")</f>
        <v/>
      </c>
      <c r="B158" s="70">
        <f>'Data Sheet'!C158</f>
        <v>156</v>
      </c>
      <c r="C158" s="38"/>
      <c r="D158" s="44">
        <f>'Data Sheet'!E158</f>
        <v>0</v>
      </c>
      <c r="E158" s="44">
        <f>'Data Sheet'!F158</f>
        <v>0</v>
      </c>
      <c r="F158" s="44">
        <f>'Data Sheet'!G158</f>
        <v>0</v>
      </c>
      <c r="G158" s="44">
        <f>'Data Sheet'!H158</f>
        <v>0</v>
      </c>
      <c r="H158" s="44">
        <f>'Data Sheet'!I158</f>
        <v>0</v>
      </c>
      <c r="I158" s="44">
        <f>'Data Sheet'!J158</f>
        <v>0</v>
      </c>
      <c r="J158" s="44">
        <f>'Data Sheet'!K158</f>
        <v>0</v>
      </c>
      <c r="K158" s="44">
        <f>'Data Sheet'!L158</f>
        <v>0</v>
      </c>
      <c r="L158" s="44">
        <f>'Data Sheet'!M158</f>
        <v>0</v>
      </c>
      <c r="M158" s="5"/>
      <c r="N158" s="44">
        <f>'Data Sheet'!O158</f>
        <v>0</v>
      </c>
      <c r="O158" s="44">
        <f>'Data Sheet'!P158</f>
        <v>0</v>
      </c>
      <c r="P158" s="44">
        <f>'Data Sheet'!Q158</f>
        <v>0</v>
      </c>
      <c r="Q158" s="44">
        <f>'Data Sheet'!R158</f>
        <v>0</v>
      </c>
      <c r="R158" s="44">
        <f>'Data Sheet'!S158</f>
        <v>0</v>
      </c>
      <c r="S158" s="44">
        <f>'Data Sheet'!T158</f>
        <v>0</v>
      </c>
      <c r="T158" s="44">
        <f>'Data Sheet'!U158</f>
        <v>0</v>
      </c>
      <c r="U158" s="44">
        <f>'Data Sheet'!V158</f>
        <v>0</v>
      </c>
      <c r="V158" s="5"/>
      <c r="W158" s="16" t="str">
        <f t="shared" si="23"/>
        <v/>
      </c>
      <c r="X158" s="10">
        <v>0</v>
      </c>
      <c r="Y158" s="11">
        <v>0</v>
      </c>
      <c r="Z158" s="11">
        <v>0</v>
      </c>
      <c r="AA158" s="11">
        <v>0</v>
      </c>
      <c r="AB158" s="11">
        <v>0</v>
      </c>
      <c r="AC158" s="11">
        <v>0</v>
      </c>
      <c r="AD158" s="11">
        <v>0</v>
      </c>
      <c r="AE158" s="12">
        <v>0</v>
      </c>
      <c r="AG158" s="45">
        <f t="shared" si="26"/>
        <v>0</v>
      </c>
      <c r="AH158" s="45">
        <f t="shared" si="24"/>
        <v>0</v>
      </c>
      <c r="AI158" s="45">
        <f t="shared" si="27"/>
        <v>0</v>
      </c>
      <c r="AJ158" s="45">
        <f t="shared" si="28"/>
        <v>0</v>
      </c>
      <c r="AK158" s="45">
        <f t="shared" si="25"/>
        <v>0</v>
      </c>
      <c r="AL158" s="1">
        <f t="shared" si="34"/>
        <v>0</v>
      </c>
      <c r="AM158" s="1">
        <f t="shared" si="30"/>
        <v>0</v>
      </c>
      <c r="AO158" s="45">
        <f t="shared" si="31"/>
        <v>0</v>
      </c>
      <c r="AP158" s="45">
        <f t="shared" si="32"/>
        <v>0</v>
      </c>
      <c r="AQ158" s="45">
        <f t="shared" si="33"/>
        <v>0</v>
      </c>
    </row>
    <row r="159" spans="1:43" ht="15" thickTop="1" thickBot="1" x14ac:dyDescent="0.5">
      <c r="A159" s="68" t="str">
        <f>IF(ISTEXT('Data Sheet'!B159),'Data Sheet'!B159&amp;" "&amp;'Data Sheet'!A159,"")</f>
        <v/>
      </c>
      <c r="B159" s="70">
        <f>'Data Sheet'!C159</f>
        <v>157</v>
      </c>
      <c r="C159" s="38"/>
      <c r="D159" s="44">
        <f>'Data Sheet'!E159</f>
        <v>0</v>
      </c>
      <c r="E159" s="44">
        <f>'Data Sheet'!F159</f>
        <v>0</v>
      </c>
      <c r="F159" s="44">
        <f>'Data Sheet'!G159</f>
        <v>0</v>
      </c>
      <c r="G159" s="44">
        <f>'Data Sheet'!H159</f>
        <v>0</v>
      </c>
      <c r="H159" s="44">
        <f>'Data Sheet'!I159</f>
        <v>0</v>
      </c>
      <c r="I159" s="44">
        <f>'Data Sheet'!J159</f>
        <v>0</v>
      </c>
      <c r="J159" s="44">
        <f>'Data Sheet'!K159</f>
        <v>0</v>
      </c>
      <c r="K159" s="44">
        <f>'Data Sheet'!L159</f>
        <v>0</v>
      </c>
      <c r="L159" s="44">
        <f>'Data Sheet'!M159</f>
        <v>0</v>
      </c>
      <c r="M159" s="5"/>
      <c r="N159" s="44">
        <f>'Data Sheet'!O159</f>
        <v>0</v>
      </c>
      <c r="O159" s="44">
        <f>'Data Sheet'!P159</f>
        <v>0</v>
      </c>
      <c r="P159" s="44">
        <f>'Data Sheet'!Q159</f>
        <v>0</v>
      </c>
      <c r="Q159" s="44">
        <f>'Data Sheet'!R159</f>
        <v>0</v>
      </c>
      <c r="R159" s="44">
        <f>'Data Sheet'!S159</f>
        <v>0</v>
      </c>
      <c r="S159" s="44">
        <f>'Data Sheet'!T159</f>
        <v>0</v>
      </c>
      <c r="T159" s="44">
        <f>'Data Sheet'!U159</f>
        <v>0</v>
      </c>
      <c r="U159" s="44">
        <f>'Data Sheet'!V159</f>
        <v>0</v>
      </c>
      <c r="V159" s="5"/>
      <c r="W159" s="16" t="str">
        <f t="shared" si="23"/>
        <v/>
      </c>
      <c r="X159" s="10">
        <v>0</v>
      </c>
      <c r="Y159" s="11">
        <v>0</v>
      </c>
      <c r="Z159" s="11">
        <v>0</v>
      </c>
      <c r="AA159" s="11">
        <v>0</v>
      </c>
      <c r="AB159" s="11">
        <v>0</v>
      </c>
      <c r="AC159" s="11">
        <v>0</v>
      </c>
      <c r="AD159" s="11">
        <v>0</v>
      </c>
      <c r="AE159" s="12">
        <v>0</v>
      </c>
      <c r="AG159" s="45">
        <f t="shared" si="26"/>
        <v>0</v>
      </c>
      <c r="AH159" s="45">
        <f t="shared" si="24"/>
        <v>0</v>
      </c>
      <c r="AI159" s="45">
        <f t="shared" si="27"/>
        <v>0</v>
      </c>
      <c r="AJ159" s="45">
        <f t="shared" si="28"/>
        <v>0</v>
      </c>
      <c r="AK159" s="45">
        <f t="shared" si="25"/>
        <v>0</v>
      </c>
      <c r="AL159" s="1">
        <f t="shared" si="34"/>
        <v>0</v>
      </c>
      <c r="AM159" s="1">
        <f t="shared" si="30"/>
        <v>0</v>
      </c>
      <c r="AO159" s="45">
        <f t="shared" si="31"/>
        <v>0</v>
      </c>
      <c r="AP159" s="45">
        <f t="shared" si="32"/>
        <v>0</v>
      </c>
      <c r="AQ159" s="45">
        <f t="shared" si="33"/>
        <v>0</v>
      </c>
    </row>
    <row r="160" spans="1:43" ht="15" thickTop="1" thickBot="1" x14ac:dyDescent="0.5">
      <c r="A160" s="68" t="str">
        <f>IF(ISTEXT('Data Sheet'!B160),'Data Sheet'!B160&amp;" "&amp;'Data Sheet'!A160,"")</f>
        <v/>
      </c>
      <c r="B160" s="70">
        <f>'Data Sheet'!C160</f>
        <v>158</v>
      </c>
      <c r="C160" s="38"/>
      <c r="D160" s="44">
        <f>'Data Sheet'!E160</f>
        <v>0</v>
      </c>
      <c r="E160" s="44">
        <f>'Data Sheet'!F160</f>
        <v>0</v>
      </c>
      <c r="F160" s="44">
        <f>'Data Sheet'!G160</f>
        <v>0</v>
      </c>
      <c r="G160" s="44">
        <f>'Data Sheet'!H160</f>
        <v>0</v>
      </c>
      <c r="H160" s="44">
        <f>'Data Sheet'!I160</f>
        <v>0</v>
      </c>
      <c r="I160" s="44">
        <f>'Data Sheet'!J160</f>
        <v>0</v>
      </c>
      <c r="J160" s="44">
        <f>'Data Sheet'!K160</f>
        <v>0</v>
      </c>
      <c r="K160" s="44">
        <f>'Data Sheet'!L160</f>
        <v>0</v>
      </c>
      <c r="L160" s="44">
        <f>'Data Sheet'!M160</f>
        <v>0</v>
      </c>
      <c r="M160" s="5"/>
      <c r="N160" s="44">
        <f>'Data Sheet'!O160</f>
        <v>0</v>
      </c>
      <c r="O160" s="44">
        <f>'Data Sheet'!P160</f>
        <v>0</v>
      </c>
      <c r="P160" s="44">
        <f>'Data Sheet'!Q160</f>
        <v>0</v>
      </c>
      <c r="Q160" s="44">
        <f>'Data Sheet'!R160</f>
        <v>0</v>
      </c>
      <c r="R160" s="44">
        <f>'Data Sheet'!S160</f>
        <v>0</v>
      </c>
      <c r="S160" s="44">
        <f>'Data Sheet'!T160</f>
        <v>0</v>
      </c>
      <c r="T160" s="44">
        <f>'Data Sheet'!U160</f>
        <v>0</v>
      </c>
      <c r="U160" s="44">
        <f>'Data Sheet'!V160</f>
        <v>0</v>
      </c>
      <c r="V160" s="5"/>
      <c r="W160" s="16" t="str">
        <f t="shared" si="23"/>
        <v/>
      </c>
      <c r="X160" s="10">
        <v>0</v>
      </c>
      <c r="Y160" s="11">
        <v>0</v>
      </c>
      <c r="Z160" s="11">
        <v>0</v>
      </c>
      <c r="AA160" s="11">
        <v>0</v>
      </c>
      <c r="AB160" s="11">
        <v>0</v>
      </c>
      <c r="AC160" s="11">
        <v>0</v>
      </c>
      <c r="AD160" s="11">
        <v>0</v>
      </c>
      <c r="AE160" s="12">
        <v>0</v>
      </c>
      <c r="AG160" s="45">
        <f t="shared" si="26"/>
        <v>0</v>
      </c>
      <c r="AH160" s="45">
        <f t="shared" si="24"/>
        <v>0</v>
      </c>
      <c r="AI160" s="45">
        <f>SUMIF($X$3:$AE$3,W160,X160:AE160)</f>
        <v>0</v>
      </c>
      <c r="AJ160" s="45">
        <f t="shared" si="28"/>
        <v>0</v>
      </c>
      <c r="AK160" s="45">
        <f t="shared" si="25"/>
        <v>0</v>
      </c>
      <c r="AL160" s="1">
        <f t="shared" si="34"/>
        <v>0</v>
      </c>
      <c r="AM160" s="1">
        <f t="shared" si="30"/>
        <v>0</v>
      </c>
      <c r="AO160" s="45">
        <f t="shared" si="31"/>
        <v>0</v>
      </c>
      <c r="AP160" s="45">
        <f t="shared" si="32"/>
        <v>0</v>
      </c>
      <c r="AQ160" s="45">
        <f t="shared" si="33"/>
        <v>0</v>
      </c>
    </row>
    <row r="161" spans="1:43" ht="15" thickTop="1" thickBot="1" x14ac:dyDescent="0.5">
      <c r="A161" s="68" t="str">
        <f>IF(ISTEXT('Data Sheet'!B161),'Data Sheet'!B161&amp;" "&amp;'Data Sheet'!A161,"")</f>
        <v/>
      </c>
      <c r="B161" s="70">
        <f>'Data Sheet'!C161</f>
        <v>159</v>
      </c>
      <c r="C161" s="38"/>
      <c r="D161" s="44">
        <f>'Data Sheet'!E161</f>
        <v>0</v>
      </c>
      <c r="E161" s="44">
        <f>'Data Sheet'!F161</f>
        <v>0</v>
      </c>
      <c r="F161" s="44">
        <f>'Data Sheet'!G161</f>
        <v>0</v>
      </c>
      <c r="G161" s="44">
        <f>'Data Sheet'!H161</f>
        <v>0</v>
      </c>
      <c r="H161" s="44">
        <f>'Data Sheet'!I161</f>
        <v>0</v>
      </c>
      <c r="I161" s="44">
        <f>'Data Sheet'!J161</f>
        <v>0</v>
      </c>
      <c r="J161" s="44">
        <f>'Data Sheet'!K161</f>
        <v>0</v>
      </c>
      <c r="K161" s="44">
        <f>'Data Sheet'!L161</f>
        <v>0</v>
      </c>
      <c r="L161" s="44">
        <f>'Data Sheet'!M161</f>
        <v>0</v>
      </c>
      <c r="M161" s="5"/>
      <c r="N161" s="44">
        <f>'Data Sheet'!O161</f>
        <v>0</v>
      </c>
      <c r="O161" s="44">
        <f>'Data Sheet'!P161</f>
        <v>0</v>
      </c>
      <c r="P161" s="44">
        <f>'Data Sheet'!Q161</f>
        <v>0</v>
      </c>
      <c r="Q161" s="44">
        <f>'Data Sheet'!R161</f>
        <v>0</v>
      </c>
      <c r="R161" s="44">
        <f>'Data Sheet'!S161</f>
        <v>0</v>
      </c>
      <c r="S161" s="44">
        <f>'Data Sheet'!T161</f>
        <v>0</v>
      </c>
      <c r="T161" s="44">
        <f>'Data Sheet'!U161</f>
        <v>0</v>
      </c>
      <c r="U161" s="44">
        <f>'Data Sheet'!V161</f>
        <v>0</v>
      </c>
      <c r="V161" s="5"/>
      <c r="W161" s="16" t="str">
        <f t="shared" si="23"/>
        <v/>
      </c>
      <c r="X161" s="10">
        <v>0</v>
      </c>
      <c r="Y161" s="11">
        <v>0</v>
      </c>
      <c r="Z161" s="11">
        <v>0</v>
      </c>
      <c r="AA161" s="11">
        <v>0</v>
      </c>
      <c r="AB161" s="11">
        <v>0</v>
      </c>
      <c r="AC161" s="11">
        <v>0</v>
      </c>
      <c r="AD161" s="11">
        <v>0</v>
      </c>
      <c r="AE161" s="12">
        <v>0</v>
      </c>
      <c r="AG161" s="45">
        <f t="shared" si="26"/>
        <v>0</v>
      </c>
      <c r="AH161" s="45">
        <f t="shared" si="24"/>
        <v>0</v>
      </c>
      <c r="AI161" s="45">
        <f t="shared" si="27"/>
        <v>0</v>
      </c>
      <c r="AJ161" s="45">
        <f t="shared" si="28"/>
        <v>0</v>
      </c>
      <c r="AK161" s="45">
        <f t="shared" si="25"/>
        <v>0</v>
      </c>
      <c r="AL161" s="1">
        <f t="shared" si="34"/>
        <v>0</v>
      </c>
      <c r="AM161" s="1">
        <f t="shared" si="30"/>
        <v>0</v>
      </c>
      <c r="AO161" s="45">
        <f t="shared" si="31"/>
        <v>0</v>
      </c>
      <c r="AP161" s="45">
        <f t="shared" si="32"/>
        <v>0</v>
      </c>
      <c r="AQ161" s="45">
        <f t="shared" si="33"/>
        <v>0</v>
      </c>
    </row>
    <row r="162" spans="1:43" ht="15" thickTop="1" thickBot="1" x14ac:dyDescent="0.5">
      <c r="A162" s="68" t="str">
        <f>IF(ISTEXT('Data Sheet'!B162),'Data Sheet'!B162&amp;" "&amp;'Data Sheet'!A162,"")</f>
        <v/>
      </c>
      <c r="B162" s="70">
        <f>'Data Sheet'!C162</f>
        <v>160</v>
      </c>
      <c r="C162" s="38"/>
      <c r="D162" s="44">
        <f>'Data Sheet'!E162</f>
        <v>0</v>
      </c>
      <c r="E162" s="44">
        <f>'Data Sheet'!F162</f>
        <v>0</v>
      </c>
      <c r="F162" s="44">
        <f>'Data Sheet'!G162</f>
        <v>0</v>
      </c>
      <c r="G162" s="44">
        <f>'Data Sheet'!H162</f>
        <v>0</v>
      </c>
      <c r="H162" s="44">
        <f>'Data Sheet'!I162</f>
        <v>0</v>
      </c>
      <c r="I162" s="44">
        <f>'Data Sheet'!J162</f>
        <v>0</v>
      </c>
      <c r="J162" s="44">
        <f>'Data Sheet'!K162</f>
        <v>0</v>
      </c>
      <c r="K162" s="44">
        <f>'Data Sheet'!L162</f>
        <v>0</v>
      </c>
      <c r="L162" s="44">
        <f>'Data Sheet'!M162</f>
        <v>0</v>
      </c>
      <c r="M162" s="5"/>
      <c r="N162" s="44">
        <f>'Data Sheet'!O162</f>
        <v>0</v>
      </c>
      <c r="O162" s="44">
        <f>'Data Sheet'!P162</f>
        <v>0</v>
      </c>
      <c r="P162" s="44">
        <f>'Data Sheet'!Q162</f>
        <v>0</v>
      </c>
      <c r="Q162" s="44">
        <f>'Data Sheet'!R162</f>
        <v>0</v>
      </c>
      <c r="R162" s="44">
        <f>'Data Sheet'!S162</f>
        <v>0</v>
      </c>
      <c r="S162" s="44">
        <f>'Data Sheet'!T162</f>
        <v>0</v>
      </c>
      <c r="T162" s="44">
        <f>'Data Sheet'!U162</f>
        <v>0</v>
      </c>
      <c r="U162" s="44">
        <f>'Data Sheet'!V162</f>
        <v>0</v>
      </c>
      <c r="V162" s="5"/>
      <c r="W162" s="16" t="str">
        <f t="shared" si="23"/>
        <v/>
      </c>
      <c r="X162" s="10">
        <v>0</v>
      </c>
      <c r="Y162" s="11">
        <v>0</v>
      </c>
      <c r="Z162" s="11">
        <v>0</v>
      </c>
      <c r="AA162" s="11">
        <v>0</v>
      </c>
      <c r="AB162" s="11">
        <v>0</v>
      </c>
      <c r="AC162" s="11">
        <v>0</v>
      </c>
      <c r="AD162" s="11">
        <v>0</v>
      </c>
      <c r="AE162" s="12">
        <v>0</v>
      </c>
      <c r="AG162" s="45">
        <f t="shared" si="26"/>
        <v>0</v>
      </c>
      <c r="AH162" s="45">
        <f t="shared" si="24"/>
        <v>0</v>
      </c>
      <c r="AI162" s="45">
        <f t="shared" si="27"/>
        <v>0</v>
      </c>
      <c r="AJ162" s="45">
        <f t="shared" si="28"/>
        <v>0</v>
      </c>
      <c r="AK162" s="45">
        <f t="shared" si="25"/>
        <v>0</v>
      </c>
      <c r="AL162" s="1">
        <f t="shared" si="34"/>
        <v>0</v>
      </c>
      <c r="AM162" s="1">
        <f t="shared" si="30"/>
        <v>0</v>
      </c>
      <c r="AO162" s="45">
        <f t="shared" si="31"/>
        <v>0</v>
      </c>
      <c r="AP162" s="45">
        <f t="shared" si="32"/>
        <v>0</v>
      </c>
      <c r="AQ162" s="45">
        <f t="shared" si="33"/>
        <v>0</v>
      </c>
    </row>
    <row r="163" spans="1:43" ht="15" thickTop="1" thickBot="1" x14ac:dyDescent="0.5">
      <c r="A163" s="68" t="str">
        <f>IF(ISTEXT('Data Sheet'!B163),'Data Sheet'!B163&amp;" "&amp;'Data Sheet'!A163,"")</f>
        <v/>
      </c>
      <c r="B163" s="70">
        <f>'Data Sheet'!C163</f>
        <v>161</v>
      </c>
      <c r="C163" s="38"/>
      <c r="D163" s="44">
        <f>'Data Sheet'!E163</f>
        <v>0</v>
      </c>
      <c r="E163" s="44">
        <f>'Data Sheet'!F163</f>
        <v>0</v>
      </c>
      <c r="F163" s="44">
        <f>'Data Sheet'!G163</f>
        <v>0</v>
      </c>
      <c r="G163" s="44">
        <f>'Data Sheet'!H163</f>
        <v>0</v>
      </c>
      <c r="H163" s="44">
        <f>'Data Sheet'!I163</f>
        <v>0</v>
      </c>
      <c r="I163" s="44">
        <f>'Data Sheet'!J163</f>
        <v>0</v>
      </c>
      <c r="J163" s="44">
        <f>'Data Sheet'!K163</f>
        <v>0</v>
      </c>
      <c r="K163" s="44">
        <f>'Data Sheet'!L163</f>
        <v>0</v>
      </c>
      <c r="L163" s="44">
        <f>'Data Sheet'!M163</f>
        <v>0</v>
      </c>
      <c r="M163" s="5"/>
      <c r="N163" s="44">
        <f>'Data Sheet'!O163</f>
        <v>0</v>
      </c>
      <c r="O163" s="44">
        <f>'Data Sheet'!P163</f>
        <v>0</v>
      </c>
      <c r="P163" s="44">
        <f>'Data Sheet'!Q163</f>
        <v>0</v>
      </c>
      <c r="Q163" s="44">
        <f>'Data Sheet'!R163</f>
        <v>0</v>
      </c>
      <c r="R163" s="44">
        <f>'Data Sheet'!S163</f>
        <v>0</v>
      </c>
      <c r="S163" s="44">
        <f>'Data Sheet'!T163</f>
        <v>0</v>
      </c>
      <c r="T163" s="44">
        <f>'Data Sheet'!U163</f>
        <v>0</v>
      </c>
      <c r="U163" s="44">
        <f>'Data Sheet'!V163</f>
        <v>0</v>
      </c>
      <c r="V163" s="5"/>
      <c r="W163" s="16" t="str">
        <f t="shared" si="23"/>
        <v/>
      </c>
      <c r="X163" s="10">
        <v>0</v>
      </c>
      <c r="Y163" s="11">
        <v>0</v>
      </c>
      <c r="Z163" s="11">
        <v>0</v>
      </c>
      <c r="AA163" s="11">
        <v>0</v>
      </c>
      <c r="AB163" s="11">
        <v>0</v>
      </c>
      <c r="AC163" s="11">
        <v>0</v>
      </c>
      <c r="AD163" s="11">
        <v>0</v>
      </c>
      <c r="AE163" s="12">
        <v>0</v>
      </c>
      <c r="AG163" s="45">
        <f t="shared" si="26"/>
        <v>0</v>
      </c>
      <c r="AH163" s="45">
        <f t="shared" si="24"/>
        <v>0</v>
      </c>
      <c r="AI163" s="45">
        <f t="shared" si="27"/>
        <v>0</v>
      </c>
      <c r="AJ163" s="45">
        <f t="shared" si="28"/>
        <v>0</v>
      </c>
      <c r="AK163" s="45">
        <f t="shared" si="25"/>
        <v>0</v>
      </c>
      <c r="AL163" s="1">
        <f t="shared" si="34"/>
        <v>0</v>
      </c>
      <c r="AM163" s="1">
        <f t="shared" si="30"/>
        <v>0</v>
      </c>
      <c r="AO163" s="45">
        <f t="shared" si="31"/>
        <v>0</v>
      </c>
      <c r="AP163" s="45">
        <f t="shared" si="32"/>
        <v>0</v>
      </c>
      <c r="AQ163" s="45">
        <f t="shared" si="33"/>
        <v>0</v>
      </c>
    </row>
    <row r="164" spans="1:43" ht="15" thickTop="1" thickBot="1" x14ac:dyDescent="0.5">
      <c r="A164" s="68" t="str">
        <f>IF(ISTEXT('Data Sheet'!B164),'Data Sheet'!B164&amp;" "&amp;'Data Sheet'!A164,"")</f>
        <v/>
      </c>
      <c r="B164" s="70">
        <f>'Data Sheet'!C164</f>
        <v>162</v>
      </c>
      <c r="C164" s="38"/>
      <c r="D164" s="44">
        <f>'Data Sheet'!E164</f>
        <v>0</v>
      </c>
      <c r="E164" s="44">
        <f>'Data Sheet'!F164</f>
        <v>0</v>
      </c>
      <c r="F164" s="44">
        <f>'Data Sheet'!G164</f>
        <v>0</v>
      </c>
      <c r="G164" s="44">
        <f>'Data Sheet'!H164</f>
        <v>0</v>
      </c>
      <c r="H164" s="44">
        <f>'Data Sheet'!I164</f>
        <v>0</v>
      </c>
      <c r="I164" s="44">
        <f>'Data Sheet'!J164</f>
        <v>0</v>
      </c>
      <c r="J164" s="44">
        <f>'Data Sheet'!K164</f>
        <v>0</v>
      </c>
      <c r="K164" s="44">
        <f>'Data Sheet'!L164</f>
        <v>0</v>
      </c>
      <c r="L164" s="44">
        <f>'Data Sheet'!M164</f>
        <v>0</v>
      </c>
      <c r="M164" s="5"/>
      <c r="N164" s="44">
        <f>'Data Sheet'!O164</f>
        <v>0</v>
      </c>
      <c r="O164" s="44">
        <f>'Data Sheet'!P164</f>
        <v>0</v>
      </c>
      <c r="P164" s="44">
        <f>'Data Sheet'!Q164</f>
        <v>0</v>
      </c>
      <c r="Q164" s="44">
        <f>'Data Sheet'!R164</f>
        <v>0</v>
      </c>
      <c r="R164" s="44">
        <f>'Data Sheet'!S164</f>
        <v>0</v>
      </c>
      <c r="S164" s="44">
        <f>'Data Sheet'!T164</f>
        <v>0</v>
      </c>
      <c r="T164" s="44">
        <f>'Data Sheet'!U164</f>
        <v>0</v>
      </c>
      <c r="U164" s="44">
        <f>'Data Sheet'!V164</f>
        <v>0</v>
      </c>
      <c r="V164" s="5"/>
      <c r="W164" s="16" t="str">
        <f t="shared" si="23"/>
        <v/>
      </c>
      <c r="X164" s="10">
        <v>0</v>
      </c>
      <c r="Y164" s="11">
        <v>0</v>
      </c>
      <c r="Z164" s="11">
        <v>0</v>
      </c>
      <c r="AA164" s="11">
        <v>0</v>
      </c>
      <c r="AB164" s="11">
        <v>0</v>
      </c>
      <c r="AC164" s="11">
        <v>0</v>
      </c>
      <c r="AD164" s="11">
        <v>0</v>
      </c>
      <c r="AE164" s="12">
        <v>0</v>
      </c>
      <c r="AG164" s="45">
        <f t="shared" si="26"/>
        <v>0</v>
      </c>
      <c r="AH164" s="45">
        <f t="shared" si="24"/>
        <v>0</v>
      </c>
      <c r="AI164" s="45">
        <f t="shared" si="27"/>
        <v>0</v>
      </c>
      <c r="AJ164" s="45">
        <f t="shared" si="28"/>
        <v>0</v>
      </c>
      <c r="AK164" s="45">
        <f t="shared" si="25"/>
        <v>0</v>
      </c>
      <c r="AL164" s="1">
        <f t="shared" si="34"/>
        <v>0</v>
      </c>
      <c r="AM164" s="1">
        <f t="shared" si="30"/>
        <v>0</v>
      </c>
      <c r="AO164" s="45">
        <f t="shared" si="31"/>
        <v>0</v>
      </c>
      <c r="AP164" s="45">
        <f t="shared" si="32"/>
        <v>0</v>
      </c>
      <c r="AQ164" s="45">
        <f t="shared" si="33"/>
        <v>0</v>
      </c>
    </row>
    <row r="165" spans="1:43" ht="15" thickTop="1" thickBot="1" x14ac:dyDescent="0.5">
      <c r="A165" s="68" t="str">
        <f>IF(ISTEXT('Data Sheet'!B165),'Data Sheet'!B165&amp;" "&amp;'Data Sheet'!A165,"")</f>
        <v/>
      </c>
      <c r="B165" s="70">
        <f>'Data Sheet'!C165</f>
        <v>163</v>
      </c>
      <c r="C165" s="38"/>
      <c r="D165" s="44">
        <f>'Data Sheet'!E165</f>
        <v>0</v>
      </c>
      <c r="E165" s="44">
        <f>'Data Sheet'!F165</f>
        <v>0</v>
      </c>
      <c r="F165" s="44">
        <f>'Data Sheet'!G165</f>
        <v>0</v>
      </c>
      <c r="G165" s="44">
        <f>'Data Sheet'!H165</f>
        <v>0</v>
      </c>
      <c r="H165" s="44">
        <f>'Data Sheet'!I165</f>
        <v>0</v>
      </c>
      <c r="I165" s="44">
        <f>'Data Sheet'!J165</f>
        <v>0</v>
      </c>
      <c r="J165" s="44">
        <f>'Data Sheet'!K165</f>
        <v>0</v>
      </c>
      <c r="K165" s="44">
        <f>'Data Sheet'!L165</f>
        <v>0</v>
      </c>
      <c r="L165" s="44">
        <f>'Data Sheet'!M165</f>
        <v>0</v>
      </c>
      <c r="M165" s="5"/>
      <c r="N165" s="44">
        <f>'Data Sheet'!O165</f>
        <v>0</v>
      </c>
      <c r="O165" s="44">
        <f>'Data Sheet'!P165</f>
        <v>0</v>
      </c>
      <c r="P165" s="44">
        <f>'Data Sheet'!Q165</f>
        <v>0</v>
      </c>
      <c r="Q165" s="44">
        <f>'Data Sheet'!R165</f>
        <v>0</v>
      </c>
      <c r="R165" s="44">
        <f>'Data Sheet'!S165</f>
        <v>0</v>
      </c>
      <c r="S165" s="44">
        <f>'Data Sheet'!T165</f>
        <v>0</v>
      </c>
      <c r="T165" s="44">
        <f>'Data Sheet'!U165</f>
        <v>0</v>
      </c>
      <c r="U165" s="44">
        <f>'Data Sheet'!V165</f>
        <v>0</v>
      </c>
      <c r="V165" s="5"/>
      <c r="W165" s="16" t="str">
        <f t="shared" si="23"/>
        <v/>
      </c>
      <c r="X165" s="10">
        <v>0</v>
      </c>
      <c r="Y165" s="11">
        <v>0</v>
      </c>
      <c r="Z165" s="11">
        <v>0</v>
      </c>
      <c r="AA165" s="11">
        <v>0</v>
      </c>
      <c r="AB165" s="11">
        <v>0</v>
      </c>
      <c r="AC165" s="11">
        <v>0</v>
      </c>
      <c r="AD165" s="11">
        <v>0</v>
      </c>
      <c r="AE165" s="12">
        <v>0</v>
      </c>
      <c r="AG165" s="45">
        <f t="shared" si="26"/>
        <v>0</v>
      </c>
      <c r="AH165" s="45">
        <f t="shared" si="24"/>
        <v>0</v>
      </c>
      <c r="AI165" s="45">
        <f t="shared" si="27"/>
        <v>0</v>
      </c>
      <c r="AJ165" s="45">
        <f t="shared" si="28"/>
        <v>0</v>
      </c>
      <c r="AK165" s="45">
        <f t="shared" si="25"/>
        <v>0</v>
      </c>
      <c r="AL165" s="1">
        <f t="shared" si="34"/>
        <v>0</v>
      </c>
      <c r="AM165" s="1">
        <f t="shared" si="30"/>
        <v>0</v>
      </c>
      <c r="AO165" s="45">
        <f t="shared" si="31"/>
        <v>0</v>
      </c>
      <c r="AP165" s="45">
        <f t="shared" si="32"/>
        <v>0</v>
      </c>
      <c r="AQ165" s="45">
        <f t="shared" si="33"/>
        <v>0</v>
      </c>
    </row>
    <row r="166" spans="1:43" ht="15" thickTop="1" thickBot="1" x14ac:dyDescent="0.5">
      <c r="A166" s="68" t="str">
        <f>IF(ISTEXT('Data Sheet'!B166),'Data Sheet'!B166&amp;" "&amp;'Data Sheet'!A166,"")</f>
        <v/>
      </c>
      <c r="B166" s="70">
        <f>'Data Sheet'!C166</f>
        <v>164</v>
      </c>
      <c r="C166" s="38"/>
      <c r="D166" s="44">
        <f>'Data Sheet'!E166</f>
        <v>0</v>
      </c>
      <c r="E166" s="44">
        <f>'Data Sheet'!F166</f>
        <v>0</v>
      </c>
      <c r="F166" s="44">
        <f>'Data Sheet'!G166</f>
        <v>0</v>
      </c>
      <c r="G166" s="44">
        <f>'Data Sheet'!H166</f>
        <v>0</v>
      </c>
      <c r="H166" s="44">
        <f>'Data Sheet'!I166</f>
        <v>0</v>
      </c>
      <c r="I166" s="44">
        <f>'Data Sheet'!J166</f>
        <v>0</v>
      </c>
      <c r="J166" s="44">
        <f>'Data Sheet'!K166</f>
        <v>0</v>
      </c>
      <c r="K166" s="44">
        <f>'Data Sheet'!L166</f>
        <v>0</v>
      </c>
      <c r="L166" s="44">
        <f>'Data Sheet'!M166</f>
        <v>0</v>
      </c>
      <c r="M166" s="5"/>
      <c r="N166" s="44">
        <f>'Data Sheet'!O166</f>
        <v>0</v>
      </c>
      <c r="O166" s="44">
        <f>'Data Sheet'!P166</f>
        <v>0</v>
      </c>
      <c r="P166" s="44">
        <f>'Data Sheet'!Q166</f>
        <v>0</v>
      </c>
      <c r="Q166" s="44">
        <f>'Data Sheet'!R166</f>
        <v>0</v>
      </c>
      <c r="R166" s="44">
        <f>'Data Sheet'!S166</f>
        <v>0</v>
      </c>
      <c r="S166" s="44">
        <f>'Data Sheet'!T166</f>
        <v>0</v>
      </c>
      <c r="T166" s="44">
        <f>'Data Sheet'!U166</f>
        <v>0</v>
      </c>
      <c r="U166" s="44">
        <f>'Data Sheet'!V166</f>
        <v>0</v>
      </c>
      <c r="V166" s="5"/>
      <c r="W166" s="16" t="str">
        <f t="shared" si="23"/>
        <v/>
      </c>
      <c r="X166" s="10">
        <v>0</v>
      </c>
      <c r="Y166" s="11">
        <v>0</v>
      </c>
      <c r="Z166" s="11">
        <v>0</v>
      </c>
      <c r="AA166" s="11">
        <v>0</v>
      </c>
      <c r="AB166" s="11">
        <v>0</v>
      </c>
      <c r="AC166" s="11">
        <v>0</v>
      </c>
      <c r="AD166" s="11">
        <v>0</v>
      </c>
      <c r="AE166" s="12">
        <v>0</v>
      </c>
      <c r="AG166" s="45">
        <f t="shared" si="26"/>
        <v>0</v>
      </c>
      <c r="AH166" s="45">
        <f t="shared" si="24"/>
        <v>0</v>
      </c>
      <c r="AI166" s="45">
        <f t="shared" si="27"/>
        <v>0</v>
      </c>
      <c r="AJ166" s="45">
        <f t="shared" si="28"/>
        <v>0</v>
      </c>
      <c r="AK166" s="45">
        <f t="shared" si="25"/>
        <v>0</v>
      </c>
      <c r="AL166" s="1">
        <f t="shared" si="34"/>
        <v>0</v>
      </c>
      <c r="AM166" s="1">
        <f t="shared" si="30"/>
        <v>0</v>
      </c>
      <c r="AO166" s="45">
        <f t="shared" si="31"/>
        <v>0</v>
      </c>
      <c r="AP166" s="45">
        <f t="shared" si="32"/>
        <v>0</v>
      </c>
      <c r="AQ166" s="45">
        <f t="shared" si="33"/>
        <v>0</v>
      </c>
    </row>
    <row r="167" spans="1:43" ht="15" thickTop="1" thickBot="1" x14ac:dyDescent="0.5">
      <c r="A167" s="68" t="str">
        <f>IF(ISTEXT('Data Sheet'!B167),'Data Sheet'!B167&amp;" "&amp;'Data Sheet'!A167,"")</f>
        <v/>
      </c>
      <c r="B167" s="70">
        <f>'Data Sheet'!C167</f>
        <v>165</v>
      </c>
      <c r="C167" s="38"/>
      <c r="D167" s="44">
        <f>'Data Sheet'!E167</f>
        <v>0</v>
      </c>
      <c r="E167" s="44">
        <f>'Data Sheet'!F167</f>
        <v>0</v>
      </c>
      <c r="F167" s="44">
        <f>'Data Sheet'!G167</f>
        <v>0</v>
      </c>
      <c r="G167" s="44">
        <f>'Data Sheet'!H167</f>
        <v>0</v>
      </c>
      <c r="H167" s="44">
        <f>'Data Sheet'!I167</f>
        <v>0</v>
      </c>
      <c r="I167" s="44">
        <f>'Data Sheet'!J167</f>
        <v>0</v>
      </c>
      <c r="J167" s="44">
        <f>'Data Sheet'!K167</f>
        <v>0</v>
      </c>
      <c r="K167" s="44">
        <f>'Data Sheet'!L167</f>
        <v>0</v>
      </c>
      <c r="L167" s="44">
        <f>'Data Sheet'!M167</f>
        <v>0</v>
      </c>
      <c r="M167" s="5"/>
      <c r="N167" s="44">
        <f>'Data Sheet'!O167</f>
        <v>0</v>
      </c>
      <c r="O167" s="44">
        <f>'Data Sheet'!P167</f>
        <v>0</v>
      </c>
      <c r="P167" s="44">
        <f>'Data Sheet'!Q167</f>
        <v>0</v>
      </c>
      <c r="Q167" s="44">
        <f>'Data Sheet'!R167</f>
        <v>0</v>
      </c>
      <c r="R167" s="44">
        <f>'Data Sheet'!S167</f>
        <v>0</v>
      </c>
      <c r="S167" s="44">
        <f>'Data Sheet'!T167</f>
        <v>0</v>
      </c>
      <c r="T167" s="44">
        <f>'Data Sheet'!U167</f>
        <v>0</v>
      </c>
      <c r="U167" s="44">
        <f>'Data Sheet'!V167</f>
        <v>0</v>
      </c>
      <c r="V167" s="5"/>
      <c r="W167" s="16" t="str">
        <f t="shared" si="23"/>
        <v/>
      </c>
      <c r="X167" s="10">
        <v>0</v>
      </c>
      <c r="Y167" s="11">
        <v>0</v>
      </c>
      <c r="Z167" s="11">
        <v>0</v>
      </c>
      <c r="AA167" s="11">
        <v>0</v>
      </c>
      <c r="AB167" s="11">
        <v>0</v>
      </c>
      <c r="AC167" s="11">
        <v>0</v>
      </c>
      <c r="AD167" s="11">
        <v>0</v>
      </c>
      <c r="AE167" s="12">
        <v>0</v>
      </c>
      <c r="AG167" s="45">
        <f t="shared" si="26"/>
        <v>0</v>
      </c>
      <c r="AH167" s="45">
        <f t="shared" si="24"/>
        <v>0</v>
      </c>
      <c r="AI167" s="45">
        <f t="shared" si="27"/>
        <v>0</v>
      </c>
      <c r="AJ167" s="45">
        <f t="shared" si="28"/>
        <v>0</v>
      </c>
      <c r="AK167" s="45">
        <f t="shared" si="25"/>
        <v>0</v>
      </c>
      <c r="AL167" s="1">
        <f t="shared" si="34"/>
        <v>0</v>
      </c>
      <c r="AM167" s="1">
        <f t="shared" si="30"/>
        <v>0</v>
      </c>
      <c r="AO167" s="45">
        <f t="shared" si="31"/>
        <v>0</v>
      </c>
      <c r="AP167" s="45">
        <f t="shared" si="32"/>
        <v>0</v>
      </c>
      <c r="AQ167" s="45">
        <f t="shared" si="33"/>
        <v>0</v>
      </c>
    </row>
    <row r="168" spans="1:43" ht="15" thickTop="1" thickBot="1" x14ac:dyDescent="0.5">
      <c r="A168" s="68" t="str">
        <f>IF(ISTEXT('Data Sheet'!B168),'Data Sheet'!B168&amp;" "&amp;'Data Sheet'!A168,"")</f>
        <v/>
      </c>
      <c r="B168" s="70">
        <f>'Data Sheet'!C168</f>
        <v>166</v>
      </c>
      <c r="C168" s="38"/>
      <c r="D168" s="44">
        <f>'Data Sheet'!E168</f>
        <v>0</v>
      </c>
      <c r="E168" s="44">
        <f>'Data Sheet'!F168</f>
        <v>0</v>
      </c>
      <c r="F168" s="44">
        <f>'Data Sheet'!G168</f>
        <v>0</v>
      </c>
      <c r="G168" s="44">
        <f>'Data Sheet'!H168</f>
        <v>0</v>
      </c>
      <c r="H168" s="44">
        <f>'Data Sheet'!I168</f>
        <v>0</v>
      </c>
      <c r="I168" s="44">
        <f>'Data Sheet'!J168</f>
        <v>0</v>
      </c>
      <c r="J168" s="44">
        <f>'Data Sheet'!K168</f>
        <v>0</v>
      </c>
      <c r="K168" s="44">
        <f>'Data Sheet'!L168</f>
        <v>0</v>
      </c>
      <c r="L168" s="44">
        <f>'Data Sheet'!M168</f>
        <v>0</v>
      </c>
      <c r="M168" s="5"/>
      <c r="N168" s="44">
        <f>'Data Sheet'!O168</f>
        <v>0</v>
      </c>
      <c r="O168" s="44">
        <f>'Data Sheet'!P168</f>
        <v>0</v>
      </c>
      <c r="P168" s="44">
        <f>'Data Sheet'!Q168</f>
        <v>0</v>
      </c>
      <c r="Q168" s="44">
        <f>'Data Sheet'!R168</f>
        <v>0</v>
      </c>
      <c r="R168" s="44">
        <f>'Data Sheet'!S168</f>
        <v>0</v>
      </c>
      <c r="S168" s="44">
        <f>'Data Sheet'!T168</f>
        <v>0</v>
      </c>
      <c r="T168" s="44">
        <f>'Data Sheet'!U168</f>
        <v>0</v>
      </c>
      <c r="U168" s="44">
        <f>'Data Sheet'!V168</f>
        <v>0</v>
      </c>
      <c r="V168" s="5"/>
      <c r="W168" s="16" t="str">
        <f t="shared" si="23"/>
        <v/>
      </c>
      <c r="X168" s="10">
        <v>0</v>
      </c>
      <c r="Y168" s="11">
        <v>0</v>
      </c>
      <c r="Z168" s="11">
        <v>0</v>
      </c>
      <c r="AA168" s="11">
        <v>0</v>
      </c>
      <c r="AB168" s="11">
        <v>0</v>
      </c>
      <c r="AC168" s="11">
        <v>0</v>
      </c>
      <c r="AD168" s="11">
        <v>0</v>
      </c>
      <c r="AE168" s="12">
        <v>0</v>
      </c>
      <c r="AG168" s="45">
        <f t="shared" si="26"/>
        <v>0</v>
      </c>
      <c r="AH168" s="45">
        <f t="shared" si="24"/>
        <v>0</v>
      </c>
      <c r="AI168" s="45">
        <f t="shared" si="27"/>
        <v>0</v>
      </c>
      <c r="AJ168" s="45">
        <f t="shared" si="28"/>
        <v>0</v>
      </c>
      <c r="AK168" s="45">
        <f t="shared" si="25"/>
        <v>0</v>
      </c>
      <c r="AL168" s="1">
        <f t="shared" si="34"/>
        <v>0</v>
      </c>
      <c r="AM168" s="1">
        <f t="shared" si="30"/>
        <v>0</v>
      </c>
      <c r="AO168" s="45">
        <f t="shared" si="31"/>
        <v>0</v>
      </c>
      <c r="AP168" s="45">
        <f t="shared" si="32"/>
        <v>0</v>
      </c>
      <c r="AQ168" s="45">
        <f t="shared" si="33"/>
        <v>0</v>
      </c>
    </row>
    <row r="169" spans="1:43" ht="15" thickTop="1" thickBot="1" x14ac:dyDescent="0.5">
      <c r="A169" s="68" t="str">
        <f>IF(ISTEXT('Data Sheet'!B169),'Data Sheet'!B169&amp;" "&amp;'Data Sheet'!A169,"")</f>
        <v/>
      </c>
      <c r="B169" s="70">
        <f>'Data Sheet'!C169</f>
        <v>167</v>
      </c>
      <c r="C169" s="38"/>
      <c r="D169" s="44">
        <f>'Data Sheet'!E169</f>
        <v>0</v>
      </c>
      <c r="E169" s="44">
        <f>'Data Sheet'!F169</f>
        <v>0</v>
      </c>
      <c r="F169" s="44">
        <f>'Data Sheet'!G169</f>
        <v>0</v>
      </c>
      <c r="G169" s="44">
        <f>'Data Sheet'!H169</f>
        <v>0</v>
      </c>
      <c r="H169" s="44">
        <f>'Data Sheet'!I169</f>
        <v>0</v>
      </c>
      <c r="I169" s="44">
        <f>'Data Sheet'!J169</f>
        <v>0</v>
      </c>
      <c r="J169" s="44">
        <f>'Data Sheet'!K169</f>
        <v>0</v>
      </c>
      <c r="K169" s="44">
        <f>'Data Sheet'!L169</f>
        <v>0</v>
      </c>
      <c r="L169" s="44">
        <f>'Data Sheet'!M169</f>
        <v>0</v>
      </c>
      <c r="M169" s="5"/>
      <c r="N169" s="44">
        <f>'Data Sheet'!O169</f>
        <v>0</v>
      </c>
      <c r="O169" s="44">
        <f>'Data Sheet'!P169</f>
        <v>0</v>
      </c>
      <c r="P169" s="44">
        <f>'Data Sheet'!Q169</f>
        <v>0</v>
      </c>
      <c r="Q169" s="44">
        <f>'Data Sheet'!R169</f>
        <v>0</v>
      </c>
      <c r="R169" s="44">
        <f>'Data Sheet'!S169</f>
        <v>0</v>
      </c>
      <c r="S169" s="44">
        <f>'Data Sheet'!T169</f>
        <v>0</v>
      </c>
      <c r="T169" s="44">
        <f>'Data Sheet'!U169</f>
        <v>0</v>
      </c>
      <c r="U169" s="44">
        <f>'Data Sheet'!V169</f>
        <v>0</v>
      </c>
      <c r="V169" s="5"/>
      <c r="W169" s="16" t="str">
        <f t="shared" si="23"/>
        <v/>
      </c>
      <c r="X169" s="10">
        <v>0</v>
      </c>
      <c r="Y169" s="11">
        <v>0</v>
      </c>
      <c r="Z169" s="11">
        <v>0</v>
      </c>
      <c r="AA169" s="11">
        <v>0</v>
      </c>
      <c r="AB169" s="11">
        <v>0</v>
      </c>
      <c r="AC169" s="11">
        <v>0</v>
      </c>
      <c r="AD169" s="11">
        <v>0</v>
      </c>
      <c r="AE169" s="12">
        <v>0</v>
      </c>
      <c r="AG169" s="45">
        <f t="shared" si="26"/>
        <v>0</v>
      </c>
      <c r="AH169" s="45">
        <f t="shared" si="24"/>
        <v>0</v>
      </c>
      <c r="AI169" s="45">
        <f t="shared" si="27"/>
        <v>0</v>
      </c>
      <c r="AJ169" s="45">
        <f t="shared" si="28"/>
        <v>0</v>
      </c>
      <c r="AK169" s="45">
        <f t="shared" si="25"/>
        <v>0</v>
      </c>
      <c r="AL169" s="1">
        <f t="shared" si="34"/>
        <v>0</v>
      </c>
      <c r="AM169" s="1">
        <f t="shared" si="30"/>
        <v>0</v>
      </c>
      <c r="AO169" s="45">
        <f t="shared" si="31"/>
        <v>0</v>
      </c>
      <c r="AP169" s="45">
        <f t="shared" si="32"/>
        <v>0</v>
      </c>
      <c r="AQ169" s="45">
        <f t="shared" si="33"/>
        <v>0</v>
      </c>
    </row>
    <row r="170" spans="1:43" ht="15" thickTop="1" thickBot="1" x14ac:dyDescent="0.5">
      <c r="A170" s="68" t="str">
        <f>IF(ISTEXT('Data Sheet'!B170),'Data Sheet'!B170&amp;" "&amp;'Data Sheet'!A170,"")</f>
        <v/>
      </c>
      <c r="B170" s="70">
        <f>'Data Sheet'!C170</f>
        <v>168</v>
      </c>
      <c r="C170" s="38"/>
      <c r="D170" s="44">
        <f>'Data Sheet'!E170</f>
        <v>0</v>
      </c>
      <c r="E170" s="44">
        <f>'Data Sheet'!F170</f>
        <v>0</v>
      </c>
      <c r="F170" s="44">
        <f>'Data Sheet'!G170</f>
        <v>0</v>
      </c>
      <c r="G170" s="44">
        <f>'Data Sheet'!H170</f>
        <v>0</v>
      </c>
      <c r="H170" s="44">
        <f>'Data Sheet'!I170</f>
        <v>0</v>
      </c>
      <c r="I170" s="44">
        <f>'Data Sheet'!J170</f>
        <v>0</v>
      </c>
      <c r="J170" s="44">
        <f>'Data Sheet'!K170</f>
        <v>0</v>
      </c>
      <c r="K170" s="44">
        <f>'Data Sheet'!L170</f>
        <v>0</v>
      </c>
      <c r="L170" s="44">
        <f>'Data Sheet'!M170</f>
        <v>0</v>
      </c>
      <c r="M170" s="5"/>
      <c r="N170" s="44">
        <f>'Data Sheet'!O170</f>
        <v>0</v>
      </c>
      <c r="O170" s="44">
        <f>'Data Sheet'!P170</f>
        <v>0</v>
      </c>
      <c r="P170" s="44">
        <f>'Data Sheet'!Q170</f>
        <v>0</v>
      </c>
      <c r="Q170" s="44">
        <f>'Data Sheet'!R170</f>
        <v>0</v>
      </c>
      <c r="R170" s="44">
        <f>'Data Sheet'!S170</f>
        <v>0</v>
      </c>
      <c r="S170" s="44">
        <f>'Data Sheet'!T170</f>
        <v>0</v>
      </c>
      <c r="T170" s="44">
        <f>'Data Sheet'!U170</f>
        <v>0</v>
      </c>
      <c r="U170" s="44">
        <f>'Data Sheet'!V170</f>
        <v>0</v>
      </c>
      <c r="V170" s="5"/>
      <c r="W170" s="16" t="str">
        <f t="shared" si="23"/>
        <v/>
      </c>
      <c r="X170" s="10">
        <v>0</v>
      </c>
      <c r="Y170" s="11">
        <v>0</v>
      </c>
      <c r="Z170" s="11">
        <v>0</v>
      </c>
      <c r="AA170" s="11">
        <v>0</v>
      </c>
      <c r="AB170" s="11">
        <v>0</v>
      </c>
      <c r="AC170" s="11">
        <v>0</v>
      </c>
      <c r="AD170" s="11">
        <v>0</v>
      </c>
      <c r="AE170" s="12">
        <v>0</v>
      </c>
      <c r="AG170" s="45">
        <f t="shared" si="26"/>
        <v>0</v>
      </c>
      <c r="AH170" s="45">
        <f t="shared" si="24"/>
        <v>0</v>
      </c>
      <c r="AI170" s="45">
        <f t="shared" si="27"/>
        <v>0</v>
      </c>
      <c r="AJ170" s="45">
        <f t="shared" si="28"/>
        <v>0</v>
      </c>
      <c r="AK170" s="45">
        <f t="shared" si="25"/>
        <v>0</v>
      </c>
      <c r="AL170" s="1">
        <f t="shared" si="34"/>
        <v>0</v>
      </c>
      <c r="AM170" s="1">
        <f t="shared" si="30"/>
        <v>0</v>
      </c>
      <c r="AO170" s="45">
        <f t="shared" si="31"/>
        <v>0</v>
      </c>
      <c r="AP170" s="45">
        <f t="shared" si="32"/>
        <v>0</v>
      </c>
      <c r="AQ170" s="45">
        <f t="shared" si="33"/>
        <v>0</v>
      </c>
    </row>
    <row r="171" spans="1:43" ht="15" thickTop="1" thickBot="1" x14ac:dyDescent="0.5">
      <c r="A171" s="68" t="str">
        <f>IF(ISTEXT('Data Sheet'!B171),'Data Sheet'!B171&amp;" "&amp;'Data Sheet'!A171,"")</f>
        <v/>
      </c>
      <c r="B171" s="70">
        <f>'Data Sheet'!C171</f>
        <v>169</v>
      </c>
      <c r="C171" s="38"/>
      <c r="D171" s="44">
        <f>'Data Sheet'!E171</f>
        <v>0</v>
      </c>
      <c r="E171" s="44">
        <f>'Data Sheet'!F171</f>
        <v>0</v>
      </c>
      <c r="F171" s="44">
        <f>'Data Sheet'!G171</f>
        <v>0</v>
      </c>
      <c r="G171" s="44">
        <f>'Data Sheet'!H171</f>
        <v>0</v>
      </c>
      <c r="H171" s="44">
        <f>'Data Sheet'!I171</f>
        <v>0</v>
      </c>
      <c r="I171" s="44">
        <f>'Data Sheet'!J171</f>
        <v>0</v>
      </c>
      <c r="J171" s="44">
        <f>'Data Sheet'!K171</f>
        <v>0</v>
      </c>
      <c r="K171" s="44">
        <f>'Data Sheet'!L171</f>
        <v>0</v>
      </c>
      <c r="L171" s="44">
        <f>'Data Sheet'!M171</f>
        <v>0</v>
      </c>
      <c r="M171" s="5"/>
      <c r="N171" s="44">
        <f>'Data Sheet'!O171</f>
        <v>0</v>
      </c>
      <c r="O171" s="44">
        <f>'Data Sheet'!P171</f>
        <v>0</v>
      </c>
      <c r="P171" s="44">
        <f>'Data Sheet'!Q171</f>
        <v>0</v>
      </c>
      <c r="Q171" s="44">
        <f>'Data Sheet'!R171</f>
        <v>0</v>
      </c>
      <c r="R171" s="44">
        <f>'Data Sheet'!S171</f>
        <v>0</v>
      </c>
      <c r="S171" s="44">
        <f>'Data Sheet'!T171</f>
        <v>0</v>
      </c>
      <c r="T171" s="44">
        <f>'Data Sheet'!U171</f>
        <v>0</v>
      </c>
      <c r="U171" s="44">
        <f>'Data Sheet'!V171</f>
        <v>0</v>
      </c>
      <c r="V171" s="5"/>
      <c r="W171" s="16" t="str">
        <f t="shared" si="23"/>
        <v/>
      </c>
      <c r="X171" s="10">
        <v>0</v>
      </c>
      <c r="Y171" s="11">
        <v>0</v>
      </c>
      <c r="Z171" s="11">
        <v>0</v>
      </c>
      <c r="AA171" s="11">
        <v>0</v>
      </c>
      <c r="AB171" s="11">
        <v>0</v>
      </c>
      <c r="AC171" s="11">
        <v>0</v>
      </c>
      <c r="AD171" s="11">
        <v>0</v>
      </c>
      <c r="AE171" s="12">
        <v>0</v>
      </c>
      <c r="AG171" s="45">
        <f t="shared" si="26"/>
        <v>0</v>
      </c>
      <c r="AH171" s="45">
        <f t="shared" si="24"/>
        <v>0</v>
      </c>
      <c r="AI171" s="45">
        <f t="shared" si="27"/>
        <v>0</v>
      </c>
      <c r="AJ171" s="45">
        <f t="shared" si="28"/>
        <v>0</v>
      </c>
      <c r="AK171" s="45">
        <f t="shared" si="25"/>
        <v>0</v>
      </c>
      <c r="AL171" s="1">
        <f t="shared" si="34"/>
        <v>0</v>
      </c>
      <c r="AM171" s="1">
        <f t="shared" si="30"/>
        <v>0</v>
      </c>
      <c r="AO171" s="45">
        <f t="shared" si="31"/>
        <v>0</v>
      </c>
      <c r="AP171" s="45">
        <f t="shared" si="32"/>
        <v>0</v>
      </c>
      <c r="AQ171" s="45">
        <f t="shared" si="33"/>
        <v>0</v>
      </c>
    </row>
    <row r="172" spans="1:43" ht="15" thickTop="1" thickBot="1" x14ac:dyDescent="0.5">
      <c r="A172" s="68" t="str">
        <f>IF(ISTEXT('Data Sheet'!B172),'Data Sheet'!B172&amp;" "&amp;'Data Sheet'!A172,"")</f>
        <v/>
      </c>
      <c r="B172" s="70">
        <f>'Data Sheet'!C172</f>
        <v>170</v>
      </c>
      <c r="C172" s="38"/>
      <c r="D172" s="44">
        <f>'Data Sheet'!E172</f>
        <v>0</v>
      </c>
      <c r="E172" s="44">
        <f>'Data Sheet'!F172</f>
        <v>0</v>
      </c>
      <c r="F172" s="44">
        <f>'Data Sheet'!G172</f>
        <v>0</v>
      </c>
      <c r="G172" s="44">
        <f>'Data Sheet'!H172</f>
        <v>0</v>
      </c>
      <c r="H172" s="44">
        <f>'Data Sheet'!I172</f>
        <v>0</v>
      </c>
      <c r="I172" s="44">
        <f>'Data Sheet'!J172</f>
        <v>0</v>
      </c>
      <c r="J172" s="44">
        <f>'Data Sheet'!K172</f>
        <v>0</v>
      </c>
      <c r="K172" s="44">
        <f>'Data Sheet'!L172</f>
        <v>0</v>
      </c>
      <c r="L172" s="44">
        <f>'Data Sheet'!M172</f>
        <v>0</v>
      </c>
      <c r="M172" s="5"/>
      <c r="N172" s="44">
        <f>'Data Sheet'!O172</f>
        <v>0</v>
      </c>
      <c r="O172" s="44">
        <f>'Data Sheet'!P172</f>
        <v>0</v>
      </c>
      <c r="P172" s="44">
        <f>'Data Sheet'!Q172</f>
        <v>0</v>
      </c>
      <c r="Q172" s="44">
        <f>'Data Sheet'!R172</f>
        <v>0</v>
      </c>
      <c r="R172" s="44">
        <f>'Data Sheet'!S172</f>
        <v>0</v>
      </c>
      <c r="S172" s="44">
        <f>'Data Sheet'!T172</f>
        <v>0</v>
      </c>
      <c r="T172" s="44">
        <f>'Data Sheet'!U172</f>
        <v>0</v>
      </c>
      <c r="U172" s="44">
        <f>'Data Sheet'!V172</f>
        <v>0</v>
      </c>
      <c r="V172" s="5"/>
      <c r="W172" s="16" t="str">
        <f t="shared" si="23"/>
        <v/>
      </c>
      <c r="X172" s="10">
        <v>0</v>
      </c>
      <c r="Y172" s="11">
        <v>0</v>
      </c>
      <c r="Z172" s="11">
        <v>0</v>
      </c>
      <c r="AA172" s="11">
        <v>0</v>
      </c>
      <c r="AB172" s="11">
        <v>0</v>
      </c>
      <c r="AC172" s="11">
        <v>0</v>
      </c>
      <c r="AD172" s="11">
        <v>0</v>
      </c>
      <c r="AE172" s="12">
        <v>0</v>
      </c>
      <c r="AG172" s="45">
        <f t="shared" si="26"/>
        <v>0</v>
      </c>
      <c r="AH172" s="45">
        <f t="shared" si="24"/>
        <v>0</v>
      </c>
      <c r="AI172" s="45">
        <f t="shared" si="27"/>
        <v>0</v>
      </c>
      <c r="AJ172" s="45">
        <f t="shared" si="28"/>
        <v>0</v>
      </c>
      <c r="AK172" s="45">
        <f t="shared" si="25"/>
        <v>0</v>
      </c>
      <c r="AL172" s="1">
        <f t="shared" si="34"/>
        <v>0</v>
      </c>
      <c r="AM172" s="1">
        <f t="shared" si="30"/>
        <v>0</v>
      </c>
      <c r="AO172" s="45">
        <f t="shared" si="31"/>
        <v>0</v>
      </c>
      <c r="AP172" s="45">
        <f t="shared" si="32"/>
        <v>0</v>
      </c>
      <c r="AQ172" s="45">
        <f t="shared" si="33"/>
        <v>0</v>
      </c>
    </row>
    <row r="173" spans="1:43" ht="15" thickTop="1" thickBot="1" x14ac:dyDescent="0.5">
      <c r="A173" s="68" t="str">
        <f>IF(ISTEXT('Data Sheet'!B173),'Data Sheet'!B173&amp;" "&amp;'Data Sheet'!A173,"")</f>
        <v/>
      </c>
      <c r="B173" s="70">
        <f>'Data Sheet'!C173</f>
        <v>171</v>
      </c>
      <c r="C173" s="38"/>
      <c r="D173" s="44">
        <f>'Data Sheet'!E173</f>
        <v>0</v>
      </c>
      <c r="E173" s="44">
        <f>'Data Sheet'!F173</f>
        <v>0</v>
      </c>
      <c r="F173" s="44">
        <f>'Data Sheet'!G173</f>
        <v>0</v>
      </c>
      <c r="G173" s="44">
        <f>'Data Sheet'!H173</f>
        <v>0</v>
      </c>
      <c r="H173" s="44">
        <f>'Data Sheet'!I173</f>
        <v>0</v>
      </c>
      <c r="I173" s="44">
        <f>'Data Sheet'!J173</f>
        <v>0</v>
      </c>
      <c r="J173" s="44">
        <f>'Data Sheet'!K173</f>
        <v>0</v>
      </c>
      <c r="K173" s="44">
        <f>'Data Sheet'!L173</f>
        <v>0</v>
      </c>
      <c r="L173" s="44">
        <f>'Data Sheet'!M173</f>
        <v>0</v>
      </c>
      <c r="M173" s="5"/>
      <c r="N173" s="44">
        <f>'Data Sheet'!O173</f>
        <v>0</v>
      </c>
      <c r="O173" s="44">
        <f>'Data Sheet'!P173</f>
        <v>0</v>
      </c>
      <c r="P173" s="44">
        <f>'Data Sheet'!Q173</f>
        <v>0</v>
      </c>
      <c r="Q173" s="44">
        <f>'Data Sheet'!R173</f>
        <v>0</v>
      </c>
      <c r="R173" s="44">
        <f>'Data Sheet'!S173</f>
        <v>0</v>
      </c>
      <c r="S173" s="44">
        <f>'Data Sheet'!T173</f>
        <v>0</v>
      </c>
      <c r="T173" s="44">
        <f>'Data Sheet'!U173</f>
        <v>0</v>
      </c>
      <c r="U173" s="44">
        <f>'Data Sheet'!V173</f>
        <v>0</v>
      </c>
      <c r="V173" s="5"/>
      <c r="W173" s="16" t="str">
        <f t="shared" si="23"/>
        <v/>
      </c>
      <c r="X173" s="10">
        <v>0</v>
      </c>
      <c r="Y173" s="11">
        <v>0</v>
      </c>
      <c r="Z173" s="11">
        <v>0</v>
      </c>
      <c r="AA173" s="11">
        <v>0</v>
      </c>
      <c r="AB173" s="11">
        <v>0</v>
      </c>
      <c r="AC173" s="11">
        <v>0</v>
      </c>
      <c r="AD173" s="11">
        <v>0</v>
      </c>
      <c r="AE173" s="12">
        <v>0</v>
      </c>
      <c r="AG173" s="45">
        <f t="shared" si="26"/>
        <v>0</v>
      </c>
      <c r="AH173" s="45">
        <f t="shared" si="24"/>
        <v>0</v>
      </c>
      <c r="AI173" s="45">
        <f t="shared" si="27"/>
        <v>0</v>
      </c>
      <c r="AJ173" s="45">
        <f t="shared" si="28"/>
        <v>0</v>
      </c>
      <c r="AK173" s="45">
        <f t="shared" si="25"/>
        <v>0</v>
      </c>
      <c r="AL173" s="1">
        <f t="shared" si="34"/>
        <v>0</v>
      </c>
      <c r="AM173" s="1">
        <f t="shared" si="30"/>
        <v>0</v>
      </c>
      <c r="AO173" s="45">
        <f t="shared" si="31"/>
        <v>0</v>
      </c>
      <c r="AP173" s="45">
        <f t="shared" si="32"/>
        <v>0</v>
      </c>
      <c r="AQ173" s="45">
        <f t="shared" si="33"/>
        <v>0</v>
      </c>
    </row>
    <row r="174" spans="1:43" ht="15" thickTop="1" thickBot="1" x14ac:dyDescent="0.5">
      <c r="A174" s="68" t="str">
        <f>IF(ISTEXT('Data Sheet'!B174),'Data Sheet'!B174&amp;" "&amp;'Data Sheet'!A174,"")</f>
        <v/>
      </c>
      <c r="B174" s="70">
        <f>'Data Sheet'!C174</f>
        <v>172</v>
      </c>
      <c r="C174" s="38"/>
      <c r="D174" s="44">
        <f>'Data Sheet'!E174</f>
        <v>0</v>
      </c>
      <c r="E174" s="44">
        <f>'Data Sheet'!F174</f>
        <v>0</v>
      </c>
      <c r="F174" s="44">
        <f>'Data Sheet'!G174</f>
        <v>0</v>
      </c>
      <c r="G174" s="44">
        <f>'Data Sheet'!H174</f>
        <v>0</v>
      </c>
      <c r="H174" s="44">
        <f>'Data Sheet'!I174</f>
        <v>0</v>
      </c>
      <c r="I174" s="44">
        <f>'Data Sheet'!J174</f>
        <v>0</v>
      </c>
      <c r="J174" s="44">
        <f>'Data Sheet'!K174</f>
        <v>0</v>
      </c>
      <c r="K174" s="44">
        <f>'Data Sheet'!L174</f>
        <v>0</v>
      </c>
      <c r="L174" s="44">
        <f>'Data Sheet'!M174</f>
        <v>0</v>
      </c>
      <c r="M174" s="5"/>
      <c r="N174" s="44">
        <f>'Data Sheet'!O174</f>
        <v>0</v>
      </c>
      <c r="O174" s="44">
        <f>'Data Sheet'!P174</f>
        <v>0</v>
      </c>
      <c r="P174" s="44">
        <f>'Data Sheet'!Q174</f>
        <v>0</v>
      </c>
      <c r="Q174" s="44">
        <f>'Data Sheet'!R174</f>
        <v>0</v>
      </c>
      <c r="R174" s="44">
        <f>'Data Sheet'!S174</f>
        <v>0</v>
      </c>
      <c r="S174" s="44">
        <f>'Data Sheet'!T174</f>
        <v>0</v>
      </c>
      <c r="T174" s="44">
        <f>'Data Sheet'!U174</f>
        <v>0</v>
      </c>
      <c r="U174" s="44">
        <f>'Data Sheet'!V174</f>
        <v>0</v>
      </c>
      <c r="V174" s="5"/>
      <c r="W174" s="16" t="str">
        <f t="shared" si="23"/>
        <v/>
      </c>
      <c r="X174" s="10">
        <v>0</v>
      </c>
      <c r="Y174" s="11">
        <v>0</v>
      </c>
      <c r="Z174" s="11">
        <v>0</v>
      </c>
      <c r="AA174" s="11">
        <v>0</v>
      </c>
      <c r="AB174" s="11">
        <v>0</v>
      </c>
      <c r="AC174" s="11">
        <v>0</v>
      </c>
      <c r="AD174" s="11">
        <v>0</v>
      </c>
      <c r="AE174" s="12">
        <v>0</v>
      </c>
      <c r="AG174" s="45">
        <f t="shared" si="26"/>
        <v>0</v>
      </c>
      <c r="AH174" s="45">
        <f t="shared" si="24"/>
        <v>0</v>
      </c>
      <c r="AI174" s="45">
        <f t="shared" si="27"/>
        <v>0</v>
      </c>
      <c r="AJ174" s="45">
        <f t="shared" si="28"/>
        <v>0</v>
      </c>
      <c r="AK174" s="45">
        <f t="shared" si="25"/>
        <v>0</v>
      </c>
      <c r="AL174" s="1">
        <f t="shared" si="34"/>
        <v>0</v>
      </c>
      <c r="AM174" s="1">
        <f t="shared" si="30"/>
        <v>0</v>
      </c>
      <c r="AO174" s="45">
        <f t="shared" si="31"/>
        <v>0</v>
      </c>
      <c r="AP174" s="45">
        <f t="shared" si="32"/>
        <v>0</v>
      </c>
      <c r="AQ174" s="45">
        <f t="shared" si="33"/>
        <v>0</v>
      </c>
    </row>
    <row r="175" spans="1:43" ht="15" thickTop="1" thickBot="1" x14ac:dyDescent="0.5">
      <c r="A175" s="68" t="str">
        <f>IF(ISTEXT('Data Sheet'!B175),'Data Sheet'!B175&amp;" "&amp;'Data Sheet'!A175,"")</f>
        <v/>
      </c>
      <c r="B175" s="70">
        <f>'Data Sheet'!C175</f>
        <v>173</v>
      </c>
      <c r="C175" s="38"/>
      <c r="D175" s="44">
        <f>'Data Sheet'!E175</f>
        <v>0</v>
      </c>
      <c r="E175" s="44">
        <f>'Data Sheet'!F175</f>
        <v>0</v>
      </c>
      <c r="F175" s="44">
        <f>'Data Sheet'!G175</f>
        <v>0</v>
      </c>
      <c r="G175" s="44">
        <f>'Data Sheet'!H175</f>
        <v>0</v>
      </c>
      <c r="H175" s="44">
        <f>'Data Sheet'!I175</f>
        <v>0</v>
      </c>
      <c r="I175" s="44">
        <f>'Data Sheet'!J175</f>
        <v>0</v>
      </c>
      <c r="J175" s="44">
        <f>'Data Sheet'!K175</f>
        <v>0</v>
      </c>
      <c r="K175" s="44">
        <f>'Data Sheet'!L175</f>
        <v>0</v>
      </c>
      <c r="L175" s="44">
        <f>'Data Sheet'!M175</f>
        <v>0</v>
      </c>
      <c r="M175" s="5"/>
      <c r="N175" s="44">
        <f>'Data Sheet'!O175</f>
        <v>0</v>
      </c>
      <c r="O175" s="44">
        <f>'Data Sheet'!P175</f>
        <v>0</v>
      </c>
      <c r="P175" s="44">
        <f>'Data Sheet'!Q175</f>
        <v>0</v>
      </c>
      <c r="Q175" s="44">
        <f>'Data Sheet'!R175</f>
        <v>0</v>
      </c>
      <c r="R175" s="44">
        <f>'Data Sheet'!S175</f>
        <v>0</v>
      </c>
      <c r="S175" s="44">
        <f>'Data Sheet'!T175</f>
        <v>0</v>
      </c>
      <c r="T175" s="44">
        <f>'Data Sheet'!U175</f>
        <v>0</v>
      </c>
      <c r="U175" s="44">
        <f>'Data Sheet'!V175</f>
        <v>0</v>
      </c>
      <c r="V175" s="5"/>
      <c r="W175" s="16" t="str">
        <f t="shared" si="23"/>
        <v/>
      </c>
      <c r="X175" s="10">
        <v>0</v>
      </c>
      <c r="Y175" s="11">
        <v>0</v>
      </c>
      <c r="Z175" s="11">
        <v>0</v>
      </c>
      <c r="AA175" s="11">
        <v>0</v>
      </c>
      <c r="AB175" s="11">
        <v>0</v>
      </c>
      <c r="AC175" s="11">
        <v>0</v>
      </c>
      <c r="AD175" s="11">
        <v>0</v>
      </c>
      <c r="AE175" s="12">
        <v>0</v>
      </c>
      <c r="AG175" s="45">
        <f t="shared" si="26"/>
        <v>0</v>
      </c>
      <c r="AH175" s="45">
        <f t="shared" si="24"/>
        <v>0</v>
      </c>
      <c r="AI175" s="45">
        <f t="shared" si="27"/>
        <v>0</v>
      </c>
      <c r="AJ175" s="45">
        <f t="shared" si="28"/>
        <v>0</v>
      </c>
      <c r="AK175" s="45">
        <f t="shared" si="25"/>
        <v>0</v>
      </c>
      <c r="AL175" s="1">
        <f t="shared" si="34"/>
        <v>0</v>
      </c>
      <c r="AM175" s="1">
        <f t="shared" si="30"/>
        <v>0</v>
      </c>
      <c r="AO175" s="45">
        <f t="shared" si="31"/>
        <v>0</v>
      </c>
      <c r="AP175" s="45">
        <f t="shared" si="32"/>
        <v>0</v>
      </c>
      <c r="AQ175" s="45">
        <f t="shared" si="33"/>
        <v>0</v>
      </c>
    </row>
    <row r="176" spans="1:43" ht="15" thickTop="1" thickBot="1" x14ac:dyDescent="0.5">
      <c r="A176" s="68" t="str">
        <f>IF(ISTEXT('Data Sheet'!B176),'Data Sheet'!B176&amp;" "&amp;'Data Sheet'!A176,"")</f>
        <v/>
      </c>
      <c r="B176" s="70">
        <f>'Data Sheet'!C176</f>
        <v>174</v>
      </c>
      <c r="C176" s="38"/>
      <c r="D176" s="44">
        <f>'Data Sheet'!E176</f>
        <v>0</v>
      </c>
      <c r="E176" s="44">
        <f>'Data Sheet'!F176</f>
        <v>0</v>
      </c>
      <c r="F176" s="44">
        <f>'Data Sheet'!G176</f>
        <v>0</v>
      </c>
      <c r="G176" s="44">
        <f>'Data Sheet'!H176</f>
        <v>0</v>
      </c>
      <c r="H176" s="44">
        <f>'Data Sheet'!I176</f>
        <v>0</v>
      </c>
      <c r="I176" s="44">
        <f>'Data Sheet'!J176</f>
        <v>0</v>
      </c>
      <c r="J176" s="44">
        <f>'Data Sheet'!K176</f>
        <v>0</v>
      </c>
      <c r="K176" s="44">
        <f>'Data Sheet'!L176</f>
        <v>0</v>
      </c>
      <c r="L176" s="44">
        <f>'Data Sheet'!M176</f>
        <v>0</v>
      </c>
      <c r="M176" s="5"/>
      <c r="N176" s="44">
        <f>'Data Sheet'!O176</f>
        <v>0</v>
      </c>
      <c r="O176" s="44">
        <f>'Data Sheet'!P176</f>
        <v>0</v>
      </c>
      <c r="P176" s="44">
        <f>'Data Sheet'!Q176</f>
        <v>0</v>
      </c>
      <c r="Q176" s="44">
        <f>'Data Sheet'!R176</f>
        <v>0</v>
      </c>
      <c r="R176" s="44">
        <f>'Data Sheet'!S176</f>
        <v>0</v>
      </c>
      <c r="S176" s="44">
        <f>'Data Sheet'!T176</f>
        <v>0</v>
      </c>
      <c r="T176" s="44">
        <f>'Data Sheet'!U176</f>
        <v>0</v>
      </c>
      <c r="U176" s="44">
        <f>'Data Sheet'!V176</f>
        <v>0</v>
      </c>
      <c r="V176" s="5"/>
      <c r="W176" s="16" t="str">
        <f t="shared" si="23"/>
        <v/>
      </c>
      <c r="X176" s="10">
        <v>0</v>
      </c>
      <c r="Y176" s="11">
        <v>0</v>
      </c>
      <c r="Z176" s="11">
        <v>0</v>
      </c>
      <c r="AA176" s="11">
        <v>0</v>
      </c>
      <c r="AB176" s="11">
        <v>0</v>
      </c>
      <c r="AC176" s="11">
        <v>0</v>
      </c>
      <c r="AD176" s="11">
        <v>0</v>
      </c>
      <c r="AE176" s="12">
        <v>0</v>
      </c>
      <c r="AG176" s="45">
        <f t="shared" si="26"/>
        <v>0</v>
      </c>
      <c r="AH176" s="45">
        <f t="shared" si="24"/>
        <v>0</v>
      </c>
      <c r="AI176" s="45">
        <f t="shared" si="27"/>
        <v>0</v>
      </c>
      <c r="AJ176" s="45">
        <f t="shared" si="28"/>
        <v>0</v>
      </c>
      <c r="AK176" s="45">
        <f t="shared" si="25"/>
        <v>0</v>
      </c>
      <c r="AL176" s="1">
        <f t="shared" si="34"/>
        <v>0</v>
      </c>
      <c r="AM176" s="1">
        <f t="shared" si="30"/>
        <v>0</v>
      </c>
      <c r="AO176" s="45">
        <f t="shared" si="31"/>
        <v>0</v>
      </c>
      <c r="AP176" s="45">
        <f t="shared" si="32"/>
        <v>0</v>
      </c>
      <c r="AQ176" s="45">
        <f t="shared" si="33"/>
        <v>0</v>
      </c>
    </row>
    <row r="177" spans="1:43" ht="15" thickTop="1" thickBot="1" x14ac:dyDescent="0.5">
      <c r="A177" s="68" t="str">
        <f>IF(ISTEXT('Data Sheet'!B177),'Data Sheet'!B177&amp;" "&amp;'Data Sheet'!A177,"")</f>
        <v/>
      </c>
      <c r="B177" s="70">
        <f>'Data Sheet'!C177</f>
        <v>175</v>
      </c>
      <c r="C177" s="38"/>
      <c r="D177" s="44">
        <f>'Data Sheet'!E177</f>
        <v>0</v>
      </c>
      <c r="E177" s="44">
        <f>'Data Sheet'!F177</f>
        <v>0</v>
      </c>
      <c r="F177" s="44">
        <f>'Data Sheet'!G177</f>
        <v>0</v>
      </c>
      <c r="G177" s="44">
        <f>'Data Sheet'!H177</f>
        <v>0</v>
      </c>
      <c r="H177" s="44">
        <f>'Data Sheet'!I177</f>
        <v>0</v>
      </c>
      <c r="I177" s="44">
        <f>'Data Sheet'!J177</f>
        <v>0</v>
      </c>
      <c r="J177" s="44">
        <f>'Data Sheet'!K177</f>
        <v>0</v>
      </c>
      <c r="K177" s="44">
        <f>'Data Sheet'!L177</f>
        <v>0</v>
      </c>
      <c r="L177" s="44">
        <f>'Data Sheet'!M177</f>
        <v>0</v>
      </c>
      <c r="M177" s="5"/>
      <c r="N177" s="44">
        <f>'Data Sheet'!O177</f>
        <v>0</v>
      </c>
      <c r="O177" s="44">
        <f>'Data Sheet'!P177</f>
        <v>0</v>
      </c>
      <c r="P177" s="44">
        <f>'Data Sheet'!Q177</f>
        <v>0</v>
      </c>
      <c r="Q177" s="44">
        <f>'Data Sheet'!R177</f>
        <v>0</v>
      </c>
      <c r="R177" s="44">
        <f>'Data Sheet'!S177</f>
        <v>0</v>
      </c>
      <c r="S177" s="44">
        <f>'Data Sheet'!T177</f>
        <v>0</v>
      </c>
      <c r="T177" s="44">
        <f>'Data Sheet'!U177</f>
        <v>0</v>
      </c>
      <c r="U177" s="44">
        <f>'Data Sheet'!V177</f>
        <v>0</v>
      </c>
      <c r="V177" s="5"/>
      <c r="W177" s="16" t="str">
        <f t="shared" si="23"/>
        <v/>
      </c>
      <c r="X177" s="10">
        <v>0</v>
      </c>
      <c r="Y177" s="11">
        <v>0</v>
      </c>
      <c r="Z177" s="11">
        <v>0</v>
      </c>
      <c r="AA177" s="11">
        <v>0</v>
      </c>
      <c r="AB177" s="11">
        <v>0</v>
      </c>
      <c r="AC177" s="11">
        <v>0</v>
      </c>
      <c r="AD177" s="11">
        <v>0</v>
      </c>
      <c r="AE177" s="12">
        <v>0</v>
      </c>
      <c r="AG177" s="45">
        <f t="shared" si="26"/>
        <v>0</v>
      </c>
      <c r="AH177" s="45">
        <f t="shared" si="24"/>
        <v>0</v>
      </c>
      <c r="AI177" s="45">
        <f t="shared" si="27"/>
        <v>0</v>
      </c>
      <c r="AJ177" s="45">
        <f t="shared" si="28"/>
        <v>0</v>
      </c>
      <c r="AK177" s="45">
        <f t="shared" si="25"/>
        <v>0</v>
      </c>
      <c r="AL177" s="1">
        <f t="shared" si="34"/>
        <v>0</v>
      </c>
      <c r="AM177" s="1">
        <f t="shared" si="30"/>
        <v>0</v>
      </c>
      <c r="AO177" s="45">
        <f t="shared" si="31"/>
        <v>0</v>
      </c>
      <c r="AP177" s="45">
        <f t="shared" si="32"/>
        <v>0</v>
      </c>
      <c r="AQ177" s="45">
        <f t="shared" si="33"/>
        <v>0</v>
      </c>
    </row>
    <row r="178" spans="1:43" ht="15" thickTop="1" thickBot="1" x14ac:dyDescent="0.5">
      <c r="A178" s="68" t="str">
        <f>IF(ISTEXT('Data Sheet'!B178),'Data Sheet'!B178&amp;" "&amp;'Data Sheet'!A178,"")</f>
        <v/>
      </c>
      <c r="B178" s="70">
        <f>'Data Sheet'!C178</f>
        <v>176</v>
      </c>
      <c r="C178" s="38"/>
      <c r="D178" s="44">
        <f>'Data Sheet'!E178</f>
        <v>0</v>
      </c>
      <c r="E178" s="44">
        <f>'Data Sheet'!F178</f>
        <v>0</v>
      </c>
      <c r="F178" s="44">
        <f>'Data Sheet'!G178</f>
        <v>0</v>
      </c>
      <c r="G178" s="44">
        <f>'Data Sheet'!H178</f>
        <v>0</v>
      </c>
      <c r="H178" s="44">
        <f>'Data Sheet'!I178</f>
        <v>0</v>
      </c>
      <c r="I178" s="44">
        <f>'Data Sheet'!J178</f>
        <v>0</v>
      </c>
      <c r="J178" s="44">
        <f>'Data Sheet'!K178</f>
        <v>0</v>
      </c>
      <c r="K178" s="44">
        <f>'Data Sheet'!L178</f>
        <v>0</v>
      </c>
      <c r="L178" s="44">
        <f>'Data Sheet'!M178</f>
        <v>0</v>
      </c>
      <c r="M178" s="5"/>
      <c r="N178" s="44">
        <f>'Data Sheet'!O178</f>
        <v>0</v>
      </c>
      <c r="O178" s="44">
        <f>'Data Sheet'!P178</f>
        <v>0</v>
      </c>
      <c r="P178" s="44">
        <f>'Data Sheet'!Q178</f>
        <v>0</v>
      </c>
      <c r="Q178" s="44">
        <f>'Data Sheet'!R178</f>
        <v>0</v>
      </c>
      <c r="R178" s="44">
        <f>'Data Sheet'!S178</f>
        <v>0</v>
      </c>
      <c r="S178" s="44">
        <f>'Data Sheet'!T178</f>
        <v>0</v>
      </c>
      <c r="T178" s="44">
        <f>'Data Sheet'!U178</f>
        <v>0</v>
      </c>
      <c r="U178" s="44">
        <f>'Data Sheet'!V178</f>
        <v>0</v>
      </c>
      <c r="V178" s="5"/>
      <c r="W178" s="16" t="str">
        <f t="shared" si="23"/>
        <v/>
      </c>
      <c r="X178" s="10">
        <v>0</v>
      </c>
      <c r="Y178" s="11">
        <v>0</v>
      </c>
      <c r="Z178" s="11">
        <v>0</v>
      </c>
      <c r="AA178" s="11">
        <v>0</v>
      </c>
      <c r="AB178" s="11">
        <v>0</v>
      </c>
      <c r="AC178" s="11">
        <v>0</v>
      </c>
      <c r="AD178" s="11">
        <v>0</v>
      </c>
      <c r="AE178" s="12">
        <v>0</v>
      </c>
      <c r="AG178" s="45">
        <f t="shared" si="26"/>
        <v>0</v>
      </c>
      <c r="AH178" s="45">
        <f t="shared" si="24"/>
        <v>0</v>
      </c>
      <c r="AI178" s="45">
        <f t="shared" si="27"/>
        <v>0</v>
      </c>
      <c r="AJ178" s="45">
        <f t="shared" si="28"/>
        <v>0</v>
      </c>
      <c r="AK178" s="45">
        <f t="shared" si="25"/>
        <v>0</v>
      </c>
      <c r="AL178" s="1">
        <f t="shared" si="34"/>
        <v>0</v>
      </c>
      <c r="AM178" s="1">
        <f t="shared" si="30"/>
        <v>0</v>
      </c>
      <c r="AO178" s="45">
        <f t="shared" si="31"/>
        <v>0</v>
      </c>
      <c r="AP178" s="45">
        <f t="shared" si="32"/>
        <v>0</v>
      </c>
      <c r="AQ178" s="45">
        <f t="shared" si="33"/>
        <v>0</v>
      </c>
    </row>
    <row r="179" spans="1:43" ht="15" thickTop="1" thickBot="1" x14ac:dyDescent="0.5">
      <c r="A179" s="68" t="str">
        <f>IF(ISTEXT('Data Sheet'!B179),'Data Sheet'!B179&amp;" "&amp;'Data Sheet'!A179,"")</f>
        <v/>
      </c>
      <c r="B179" s="70">
        <f>'Data Sheet'!C179</f>
        <v>177</v>
      </c>
      <c r="C179" s="38"/>
      <c r="D179" s="44">
        <f>'Data Sheet'!E179</f>
        <v>0</v>
      </c>
      <c r="E179" s="44">
        <f>'Data Sheet'!F179</f>
        <v>0</v>
      </c>
      <c r="F179" s="44">
        <f>'Data Sheet'!G179</f>
        <v>0</v>
      </c>
      <c r="G179" s="44">
        <f>'Data Sheet'!H179</f>
        <v>0</v>
      </c>
      <c r="H179" s="44">
        <f>'Data Sheet'!I179</f>
        <v>0</v>
      </c>
      <c r="I179" s="44">
        <f>'Data Sheet'!J179</f>
        <v>0</v>
      </c>
      <c r="J179" s="44">
        <f>'Data Sheet'!K179</f>
        <v>0</v>
      </c>
      <c r="K179" s="44">
        <f>'Data Sheet'!L179</f>
        <v>0</v>
      </c>
      <c r="L179" s="44">
        <f>'Data Sheet'!M179</f>
        <v>0</v>
      </c>
      <c r="M179" s="5"/>
      <c r="N179" s="44">
        <f>'Data Sheet'!O179</f>
        <v>0</v>
      </c>
      <c r="O179" s="44">
        <f>'Data Sheet'!P179</f>
        <v>0</v>
      </c>
      <c r="P179" s="44">
        <f>'Data Sheet'!Q179</f>
        <v>0</v>
      </c>
      <c r="Q179" s="44">
        <f>'Data Sheet'!R179</f>
        <v>0</v>
      </c>
      <c r="R179" s="44">
        <f>'Data Sheet'!S179</f>
        <v>0</v>
      </c>
      <c r="S179" s="44">
        <f>'Data Sheet'!T179</f>
        <v>0</v>
      </c>
      <c r="T179" s="44">
        <f>'Data Sheet'!U179</f>
        <v>0</v>
      </c>
      <c r="U179" s="44">
        <f>'Data Sheet'!V179</f>
        <v>0</v>
      </c>
      <c r="V179" s="5"/>
      <c r="W179" s="16" t="str">
        <f t="shared" si="23"/>
        <v/>
      </c>
      <c r="X179" s="10">
        <v>0</v>
      </c>
      <c r="Y179" s="11">
        <v>0</v>
      </c>
      <c r="Z179" s="11">
        <v>0</v>
      </c>
      <c r="AA179" s="11">
        <v>0</v>
      </c>
      <c r="AB179" s="11">
        <v>0</v>
      </c>
      <c r="AC179" s="11">
        <v>0</v>
      </c>
      <c r="AD179" s="11">
        <v>0</v>
      </c>
      <c r="AE179" s="12">
        <v>0</v>
      </c>
      <c r="AG179" s="45">
        <f t="shared" si="26"/>
        <v>0</v>
      </c>
      <c r="AH179" s="45">
        <f t="shared" si="24"/>
        <v>0</v>
      </c>
      <c r="AI179" s="45">
        <f t="shared" si="27"/>
        <v>0</v>
      </c>
      <c r="AJ179" s="45">
        <f t="shared" si="28"/>
        <v>0</v>
      </c>
      <c r="AK179" s="45">
        <f t="shared" si="25"/>
        <v>0</v>
      </c>
      <c r="AL179" s="1">
        <f t="shared" si="34"/>
        <v>0</v>
      </c>
      <c r="AM179" s="1">
        <f t="shared" si="30"/>
        <v>0</v>
      </c>
      <c r="AO179" s="45">
        <f t="shared" si="31"/>
        <v>0</v>
      </c>
      <c r="AP179" s="45">
        <f t="shared" si="32"/>
        <v>0</v>
      </c>
      <c r="AQ179" s="45">
        <f t="shared" si="33"/>
        <v>0</v>
      </c>
    </row>
    <row r="180" spans="1:43" ht="15" thickTop="1" thickBot="1" x14ac:dyDescent="0.5">
      <c r="A180" s="68" t="str">
        <f>IF(ISTEXT('Data Sheet'!B180),'Data Sheet'!B180&amp;" "&amp;'Data Sheet'!A180,"")</f>
        <v/>
      </c>
      <c r="B180" s="70">
        <f>'Data Sheet'!C180</f>
        <v>178</v>
      </c>
      <c r="C180" s="38"/>
      <c r="D180" s="44">
        <f>'Data Sheet'!E180</f>
        <v>0</v>
      </c>
      <c r="E180" s="44">
        <f>'Data Sheet'!F180</f>
        <v>0</v>
      </c>
      <c r="F180" s="44">
        <f>'Data Sheet'!G180</f>
        <v>0</v>
      </c>
      <c r="G180" s="44">
        <f>'Data Sheet'!H180</f>
        <v>0</v>
      </c>
      <c r="H180" s="44">
        <f>'Data Sheet'!I180</f>
        <v>0</v>
      </c>
      <c r="I180" s="44">
        <f>'Data Sheet'!J180</f>
        <v>0</v>
      </c>
      <c r="J180" s="44">
        <f>'Data Sheet'!K180</f>
        <v>0</v>
      </c>
      <c r="K180" s="44">
        <f>'Data Sheet'!L180</f>
        <v>0</v>
      </c>
      <c r="L180" s="44">
        <f>'Data Sheet'!M180</f>
        <v>0</v>
      </c>
      <c r="M180" s="5"/>
      <c r="N180" s="44">
        <f>'Data Sheet'!O180</f>
        <v>0</v>
      </c>
      <c r="O180" s="44">
        <f>'Data Sheet'!P180</f>
        <v>0</v>
      </c>
      <c r="P180" s="44">
        <f>'Data Sheet'!Q180</f>
        <v>0</v>
      </c>
      <c r="Q180" s="44">
        <f>'Data Sheet'!R180</f>
        <v>0</v>
      </c>
      <c r="R180" s="44">
        <f>'Data Sheet'!S180</f>
        <v>0</v>
      </c>
      <c r="S180" s="44">
        <f>'Data Sheet'!T180</f>
        <v>0</v>
      </c>
      <c r="T180" s="44">
        <f>'Data Sheet'!U180</f>
        <v>0</v>
      </c>
      <c r="U180" s="44">
        <f>'Data Sheet'!V180</f>
        <v>0</v>
      </c>
      <c r="V180" s="5"/>
      <c r="W180" s="16" t="str">
        <f t="shared" si="23"/>
        <v/>
      </c>
      <c r="X180" s="10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2">
        <v>0</v>
      </c>
      <c r="AG180" s="45">
        <f t="shared" si="26"/>
        <v>0</v>
      </c>
      <c r="AH180" s="45">
        <f t="shared" si="24"/>
        <v>0</v>
      </c>
      <c r="AI180" s="45">
        <f t="shared" si="27"/>
        <v>0</v>
      </c>
      <c r="AJ180" s="45">
        <f t="shared" si="28"/>
        <v>0</v>
      </c>
      <c r="AK180" s="45">
        <f t="shared" si="25"/>
        <v>0</v>
      </c>
      <c r="AL180" s="1">
        <f t="shared" si="34"/>
        <v>0</v>
      </c>
      <c r="AM180" s="1">
        <f t="shared" si="30"/>
        <v>0</v>
      </c>
      <c r="AO180" s="45">
        <f t="shared" si="31"/>
        <v>0</v>
      </c>
      <c r="AP180" s="45">
        <f t="shared" si="32"/>
        <v>0</v>
      </c>
      <c r="AQ180" s="45">
        <f t="shared" si="33"/>
        <v>0</v>
      </c>
    </row>
    <row r="181" spans="1:43" ht="15" thickTop="1" thickBot="1" x14ac:dyDescent="0.5">
      <c r="A181" s="68" t="str">
        <f>IF(ISTEXT('Data Sheet'!B181),'Data Sheet'!B181&amp;" "&amp;'Data Sheet'!A181,"")</f>
        <v/>
      </c>
      <c r="B181" s="70">
        <f>'Data Sheet'!C181</f>
        <v>179</v>
      </c>
      <c r="C181" s="38"/>
      <c r="D181" s="44">
        <f>'Data Sheet'!E181</f>
        <v>0</v>
      </c>
      <c r="E181" s="44">
        <f>'Data Sheet'!F181</f>
        <v>0</v>
      </c>
      <c r="F181" s="44">
        <f>'Data Sheet'!G181</f>
        <v>0</v>
      </c>
      <c r="G181" s="44">
        <f>'Data Sheet'!H181</f>
        <v>0</v>
      </c>
      <c r="H181" s="44">
        <f>'Data Sheet'!I181</f>
        <v>0</v>
      </c>
      <c r="I181" s="44">
        <f>'Data Sheet'!J181</f>
        <v>0</v>
      </c>
      <c r="J181" s="44">
        <f>'Data Sheet'!K181</f>
        <v>0</v>
      </c>
      <c r="K181" s="44">
        <f>'Data Sheet'!L181</f>
        <v>0</v>
      </c>
      <c r="L181" s="44">
        <f>'Data Sheet'!M181</f>
        <v>0</v>
      </c>
      <c r="M181" s="5"/>
      <c r="N181" s="44">
        <f>'Data Sheet'!O181</f>
        <v>0</v>
      </c>
      <c r="O181" s="44">
        <f>'Data Sheet'!P181</f>
        <v>0</v>
      </c>
      <c r="P181" s="44">
        <f>'Data Sheet'!Q181</f>
        <v>0</v>
      </c>
      <c r="Q181" s="44">
        <f>'Data Sheet'!R181</f>
        <v>0</v>
      </c>
      <c r="R181" s="44">
        <f>'Data Sheet'!S181</f>
        <v>0</v>
      </c>
      <c r="S181" s="44">
        <f>'Data Sheet'!T181</f>
        <v>0</v>
      </c>
      <c r="T181" s="44">
        <f>'Data Sheet'!U181</f>
        <v>0</v>
      </c>
      <c r="U181" s="44">
        <f>'Data Sheet'!V181</f>
        <v>0</v>
      </c>
      <c r="V181" s="5"/>
      <c r="W181" s="16" t="str">
        <f t="shared" si="23"/>
        <v/>
      </c>
      <c r="X181" s="10">
        <v>0</v>
      </c>
      <c r="Y181" s="11">
        <v>0</v>
      </c>
      <c r="Z181" s="11">
        <v>0</v>
      </c>
      <c r="AA181" s="11">
        <v>0</v>
      </c>
      <c r="AB181" s="11">
        <v>0</v>
      </c>
      <c r="AC181" s="11">
        <v>0</v>
      </c>
      <c r="AD181" s="11">
        <v>0</v>
      </c>
      <c r="AE181" s="12">
        <v>0</v>
      </c>
      <c r="AG181" s="45">
        <f t="shared" si="26"/>
        <v>0</v>
      </c>
      <c r="AH181" s="45">
        <f t="shared" si="24"/>
        <v>0</v>
      </c>
      <c r="AI181" s="45">
        <f t="shared" si="27"/>
        <v>0</v>
      </c>
      <c r="AJ181" s="45">
        <f t="shared" si="28"/>
        <v>0</v>
      </c>
      <c r="AK181" s="45">
        <f t="shared" si="25"/>
        <v>0</v>
      </c>
      <c r="AL181" s="1">
        <f t="shared" si="34"/>
        <v>0</v>
      </c>
      <c r="AM181" s="1">
        <f t="shared" si="30"/>
        <v>0</v>
      </c>
      <c r="AO181" s="45">
        <f t="shared" si="31"/>
        <v>0</v>
      </c>
      <c r="AP181" s="45">
        <f t="shared" si="32"/>
        <v>0</v>
      </c>
      <c r="AQ181" s="45">
        <f t="shared" si="33"/>
        <v>0</v>
      </c>
    </row>
    <row r="182" spans="1:43" ht="15" thickTop="1" thickBot="1" x14ac:dyDescent="0.5">
      <c r="A182" s="68" t="str">
        <f>IF(ISTEXT('Data Sheet'!B182),'Data Sheet'!B182&amp;" "&amp;'Data Sheet'!A182,"")</f>
        <v/>
      </c>
      <c r="B182" s="70">
        <f>'Data Sheet'!C182</f>
        <v>180</v>
      </c>
      <c r="C182" s="38"/>
      <c r="D182" s="44">
        <f>'Data Sheet'!E182</f>
        <v>0</v>
      </c>
      <c r="E182" s="44">
        <f>'Data Sheet'!F182</f>
        <v>0</v>
      </c>
      <c r="F182" s="44">
        <f>'Data Sheet'!G182</f>
        <v>0</v>
      </c>
      <c r="G182" s="44">
        <f>'Data Sheet'!H182</f>
        <v>0</v>
      </c>
      <c r="H182" s="44">
        <f>'Data Sheet'!I182</f>
        <v>0</v>
      </c>
      <c r="I182" s="44">
        <f>'Data Sheet'!J182</f>
        <v>0</v>
      </c>
      <c r="J182" s="44">
        <f>'Data Sheet'!K182</f>
        <v>0</v>
      </c>
      <c r="K182" s="44">
        <f>'Data Sheet'!L182</f>
        <v>0</v>
      </c>
      <c r="L182" s="44">
        <f>'Data Sheet'!M182</f>
        <v>0</v>
      </c>
      <c r="M182" s="5"/>
      <c r="N182" s="44">
        <f>'Data Sheet'!O182</f>
        <v>0</v>
      </c>
      <c r="O182" s="44">
        <f>'Data Sheet'!P182</f>
        <v>0</v>
      </c>
      <c r="P182" s="44">
        <f>'Data Sheet'!Q182</f>
        <v>0</v>
      </c>
      <c r="Q182" s="44">
        <f>'Data Sheet'!R182</f>
        <v>0</v>
      </c>
      <c r="R182" s="44">
        <f>'Data Sheet'!S182</f>
        <v>0</v>
      </c>
      <c r="S182" s="44">
        <f>'Data Sheet'!T182</f>
        <v>0</v>
      </c>
      <c r="T182" s="44">
        <f>'Data Sheet'!U182</f>
        <v>0</v>
      </c>
      <c r="U182" s="44">
        <f>'Data Sheet'!V182</f>
        <v>0</v>
      </c>
      <c r="V182" s="5"/>
      <c r="W182" s="16" t="str">
        <f t="shared" si="23"/>
        <v/>
      </c>
      <c r="X182" s="10">
        <v>0</v>
      </c>
      <c r="Y182" s="11">
        <v>0</v>
      </c>
      <c r="Z182" s="11">
        <v>0</v>
      </c>
      <c r="AA182" s="11">
        <v>0</v>
      </c>
      <c r="AB182" s="11">
        <v>0</v>
      </c>
      <c r="AC182" s="11">
        <v>0</v>
      </c>
      <c r="AD182" s="11">
        <v>0</v>
      </c>
      <c r="AE182" s="12">
        <v>0</v>
      </c>
      <c r="AG182" s="45">
        <f t="shared" si="26"/>
        <v>0</v>
      </c>
      <c r="AH182" s="45">
        <f t="shared" si="24"/>
        <v>0</v>
      </c>
      <c r="AI182" s="45">
        <f t="shared" si="27"/>
        <v>0</v>
      </c>
      <c r="AJ182" s="45">
        <f t="shared" si="28"/>
        <v>0</v>
      </c>
      <c r="AK182" s="45">
        <f t="shared" si="25"/>
        <v>0</v>
      </c>
      <c r="AL182" s="1">
        <f t="shared" si="34"/>
        <v>0</v>
      </c>
      <c r="AM182" s="1">
        <f t="shared" si="30"/>
        <v>0</v>
      </c>
      <c r="AO182" s="45">
        <f t="shared" si="31"/>
        <v>0</v>
      </c>
      <c r="AP182" s="45">
        <f t="shared" si="32"/>
        <v>0</v>
      </c>
      <c r="AQ182" s="45">
        <f t="shared" si="33"/>
        <v>0</v>
      </c>
    </row>
    <row r="183" spans="1:43" ht="15" thickTop="1" thickBot="1" x14ac:dyDescent="0.5">
      <c r="A183" s="68" t="str">
        <f>IF(ISTEXT('Data Sheet'!B183),'Data Sheet'!B183&amp;" "&amp;'Data Sheet'!A183,"")</f>
        <v/>
      </c>
      <c r="B183" s="70">
        <f>'Data Sheet'!C183</f>
        <v>181</v>
      </c>
      <c r="C183" s="38"/>
      <c r="D183" s="44">
        <f>'Data Sheet'!E183</f>
        <v>0</v>
      </c>
      <c r="E183" s="44">
        <f>'Data Sheet'!F183</f>
        <v>0</v>
      </c>
      <c r="F183" s="44">
        <f>'Data Sheet'!G183</f>
        <v>0</v>
      </c>
      <c r="G183" s="44">
        <f>'Data Sheet'!H183</f>
        <v>0</v>
      </c>
      <c r="H183" s="44">
        <f>'Data Sheet'!I183</f>
        <v>0</v>
      </c>
      <c r="I183" s="44">
        <f>'Data Sheet'!J183</f>
        <v>0</v>
      </c>
      <c r="J183" s="44">
        <f>'Data Sheet'!K183</f>
        <v>0</v>
      </c>
      <c r="K183" s="44">
        <f>'Data Sheet'!L183</f>
        <v>0</v>
      </c>
      <c r="L183" s="44">
        <f>'Data Sheet'!M183</f>
        <v>0</v>
      </c>
      <c r="M183" s="5"/>
      <c r="N183" s="44">
        <f>'Data Sheet'!O183</f>
        <v>0</v>
      </c>
      <c r="O183" s="44">
        <f>'Data Sheet'!P183</f>
        <v>0</v>
      </c>
      <c r="P183" s="44">
        <f>'Data Sheet'!Q183</f>
        <v>0</v>
      </c>
      <c r="Q183" s="44">
        <f>'Data Sheet'!R183</f>
        <v>0</v>
      </c>
      <c r="R183" s="44">
        <f>'Data Sheet'!S183</f>
        <v>0</v>
      </c>
      <c r="S183" s="44">
        <f>'Data Sheet'!T183</f>
        <v>0</v>
      </c>
      <c r="T183" s="44">
        <f>'Data Sheet'!U183</f>
        <v>0</v>
      </c>
      <c r="U183" s="44">
        <f>'Data Sheet'!V183</f>
        <v>0</v>
      </c>
      <c r="V183" s="5"/>
      <c r="W183" s="16" t="str">
        <f t="shared" si="23"/>
        <v/>
      </c>
      <c r="X183" s="10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2">
        <v>0</v>
      </c>
      <c r="AG183" s="45">
        <f t="shared" si="26"/>
        <v>0</v>
      </c>
      <c r="AH183" s="45">
        <f t="shared" si="24"/>
        <v>0</v>
      </c>
      <c r="AI183" s="45">
        <f t="shared" si="27"/>
        <v>0</v>
      </c>
      <c r="AJ183" s="45">
        <f t="shared" si="28"/>
        <v>0</v>
      </c>
      <c r="AK183" s="45">
        <f t="shared" si="25"/>
        <v>0</v>
      </c>
      <c r="AL183" s="1">
        <f t="shared" si="34"/>
        <v>0</v>
      </c>
      <c r="AM183" s="1">
        <f t="shared" si="30"/>
        <v>0</v>
      </c>
      <c r="AO183" s="45">
        <f t="shared" si="31"/>
        <v>0</v>
      </c>
      <c r="AP183" s="45">
        <f t="shared" si="32"/>
        <v>0</v>
      </c>
      <c r="AQ183" s="45">
        <f t="shared" si="33"/>
        <v>0</v>
      </c>
    </row>
    <row r="184" spans="1:43" ht="15" thickTop="1" thickBot="1" x14ac:dyDescent="0.5">
      <c r="A184" s="68" t="str">
        <f>IF(ISTEXT('Data Sheet'!B184),'Data Sheet'!B184&amp;" "&amp;'Data Sheet'!A184,"")</f>
        <v/>
      </c>
      <c r="B184" s="70">
        <f>'Data Sheet'!C184</f>
        <v>182</v>
      </c>
      <c r="C184" s="38"/>
      <c r="D184" s="44">
        <f>'Data Sheet'!E184</f>
        <v>0</v>
      </c>
      <c r="E184" s="44">
        <f>'Data Sheet'!F184</f>
        <v>0</v>
      </c>
      <c r="F184" s="44">
        <f>'Data Sheet'!G184</f>
        <v>0</v>
      </c>
      <c r="G184" s="44">
        <f>'Data Sheet'!H184</f>
        <v>0</v>
      </c>
      <c r="H184" s="44">
        <f>'Data Sheet'!I184</f>
        <v>0</v>
      </c>
      <c r="I184" s="44">
        <f>'Data Sheet'!J184</f>
        <v>0</v>
      </c>
      <c r="J184" s="44">
        <f>'Data Sheet'!K184</f>
        <v>0</v>
      </c>
      <c r="K184" s="44">
        <f>'Data Sheet'!L184</f>
        <v>0</v>
      </c>
      <c r="L184" s="44">
        <f>'Data Sheet'!M184</f>
        <v>0</v>
      </c>
      <c r="M184" s="5"/>
      <c r="N184" s="44">
        <f>'Data Sheet'!O184</f>
        <v>0</v>
      </c>
      <c r="O184" s="44">
        <f>'Data Sheet'!P184</f>
        <v>0</v>
      </c>
      <c r="P184" s="44">
        <f>'Data Sheet'!Q184</f>
        <v>0</v>
      </c>
      <c r="Q184" s="44">
        <f>'Data Sheet'!R184</f>
        <v>0</v>
      </c>
      <c r="R184" s="44">
        <f>'Data Sheet'!S184</f>
        <v>0</v>
      </c>
      <c r="S184" s="44">
        <f>'Data Sheet'!T184</f>
        <v>0</v>
      </c>
      <c r="T184" s="44">
        <f>'Data Sheet'!U184</f>
        <v>0</v>
      </c>
      <c r="U184" s="44">
        <f>'Data Sheet'!V184</f>
        <v>0</v>
      </c>
      <c r="V184" s="5"/>
      <c r="W184" s="16" t="str">
        <f t="shared" si="23"/>
        <v/>
      </c>
      <c r="X184" s="10">
        <v>0</v>
      </c>
      <c r="Y184" s="11">
        <v>0</v>
      </c>
      <c r="Z184" s="11">
        <v>0</v>
      </c>
      <c r="AA184" s="11">
        <v>0</v>
      </c>
      <c r="AB184" s="11">
        <v>0</v>
      </c>
      <c r="AC184" s="11">
        <v>0</v>
      </c>
      <c r="AD184" s="11">
        <v>0</v>
      </c>
      <c r="AE184" s="12">
        <v>0</v>
      </c>
      <c r="AG184" s="45">
        <f t="shared" si="26"/>
        <v>0</v>
      </c>
      <c r="AH184" s="45">
        <f t="shared" si="24"/>
        <v>0</v>
      </c>
      <c r="AI184" s="45">
        <f t="shared" si="27"/>
        <v>0</v>
      </c>
      <c r="AJ184" s="45">
        <f t="shared" si="28"/>
        <v>0</v>
      </c>
      <c r="AK184" s="45">
        <f t="shared" si="25"/>
        <v>0</v>
      </c>
      <c r="AL184" s="1">
        <f t="shared" si="34"/>
        <v>0</v>
      </c>
      <c r="AM184" s="1">
        <f t="shared" si="30"/>
        <v>0</v>
      </c>
      <c r="AO184" s="45">
        <f t="shared" si="31"/>
        <v>0</v>
      </c>
      <c r="AP184" s="45">
        <f t="shared" si="32"/>
        <v>0</v>
      </c>
      <c r="AQ184" s="45">
        <f t="shared" si="33"/>
        <v>0</v>
      </c>
    </row>
    <row r="185" spans="1:43" ht="15" thickTop="1" thickBot="1" x14ac:dyDescent="0.5">
      <c r="A185" s="68" t="str">
        <f>IF(ISTEXT('Data Sheet'!B185),'Data Sheet'!B185&amp;" "&amp;'Data Sheet'!A185,"")</f>
        <v/>
      </c>
      <c r="B185" s="70">
        <f>'Data Sheet'!C185</f>
        <v>183</v>
      </c>
      <c r="C185" s="38"/>
      <c r="D185" s="44">
        <f>'Data Sheet'!E185</f>
        <v>0</v>
      </c>
      <c r="E185" s="44">
        <f>'Data Sheet'!F185</f>
        <v>0</v>
      </c>
      <c r="F185" s="44">
        <f>'Data Sheet'!G185</f>
        <v>0</v>
      </c>
      <c r="G185" s="44">
        <f>'Data Sheet'!H185</f>
        <v>0</v>
      </c>
      <c r="H185" s="44">
        <f>'Data Sheet'!I185</f>
        <v>0</v>
      </c>
      <c r="I185" s="44">
        <f>'Data Sheet'!J185</f>
        <v>0</v>
      </c>
      <c r="J185" s="44">
        <f>'Data Sheet'!K185</f>
        <v>0</v>
      </c>
      <c r="K185" s="44">
        <f>'Data Sheet'!L185</f>
        <v>0</v>
      </c>
      <c r="L185" s="44">
        <f>'Data Sheet'!M185</f>
        <v>0</v>
      </c>
      <c r="M185" s="5"/>
      <c r="N185" s="44">
        <f>'Data Sheet'!O185</f>
        <v>0</v>
      </c>
      <c r="O185" s="44">
        <f>'Data Sheet'!P185</f>
        <v>0</v>
      </c>
      <c r="P185" s="44">
        <f>'Data Sheet'!Q185</f>
        <v>0</v>
      </c>
      <c r="Q185" s="44">
        <f>'Data Sheet'!R185</f>
        <v>0</v>
      </c>
      <c r="R185" s="44">
        <f>'Data Sheet'!S185</f>
        <v>0</v>
      </c>
      <c r="S185" s="44">
        <f>'Data Sheet'!T185</f>
        <v>0</v>
      </c>
      <c r="T185" s="44">
        <f>'Data Sheet'!U185</f>
        <v>0</v>
      </c>
      <c r="U185" s="44">
        <f>'Data Sheet'!V185</f>
        <v>0</v>
      </c>
      <c r="V185" s="5"/>
      <c r="W185" s="16" t="str">
        <f t="shared" si="23"/>
        <v/>
      </c>
      <c r="X185" s="10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2">
        <v>0</v>
      </c>
      <c r="AG185" s="45">
        <f t="shared" si="26"/>
        <v>0</v>
      </c>
      <c r="AH185" s="45">
        <f t="shared" si="24"/>
        <v>0</v>
      </c>
      <c r="AI185" s="45">
        <f t="shared" si="27"/>
        <v>0</v>
      </c>
      <c r="AJ185" s="45">
        <f t="shared" si="28"/>
        <v>0</v>
      </c>
      <c r="AK185" s="45">
        <f t="shared" si="25"/>
        <v>0</v>
      </c>
      <c r="AL185" s="1">
        <f t="shared" si="34"/>
        <v>0</v>
      </c>
      <c r="AM185" s="1">
        <f t="shared" si="30"/>
        <v>0</v>
      </c>
      <c r="AO185" s="45">
        <f t="shared" si="31"/>
        <v>0</v>
      </c>
      <c r="AP185" s="45">
        <f t="shared" si="32"/>
        <v>0</v>
      </c>
      <c r="AQ185" s="45">
        <f t="shared" si="33"/>
        <v>0</v>
      </c>
    </row>
    <row r="186" spans="1:43" ht="15" thickTop="1" thickBot="1" x14ac:dyDescent="0.5">
      <c r="A186" s="68" t="str">
        <f>IF(ISTEXT('Data Sheet'!B186),'Data Sheet'!B186&amp;" "&amp;'Data Sheet'!A186,"")</f>
        <v/>
      </c>
      <c r="B186" s="70">
        <f>'Data Sheet'!C186</f>
        <v>184</v>
      </c>
      <c r="C186" s="38"/>
      <c r="D186" s="44">
        <f>'Data Sheet'!E186</f>
        <v>0</v>
      </c>
      <c r="E186" s="44">
        <f>'Data Sheet'!F186</f>
        <v>0</v>
      </c>
      <c r="F186" s="44">
        <f>'Data Sheet'!G186</f>
        <v>0</v>
      </c>
      <c r="G186" s="44">
        <f>'Data Sheet'!H186</f>
        <v>0</v>
      </c>
      <c r="H186" s="44">
        <f>'Data Sheet'!I186</f>
        <v>0</v>
      </c>
      <c r="I186" s="44">
        <f>'Data Sheet'!J186</f>
        <v>0</v>
      </c>
      <c r="J186" s="44">
        <f>'Data Sheet'!K186</f>
        <v>0</v>
      </c>
      <c r="K186" s="44">
        <f>'Data Sheet'!L186</f>
        <v>0</v>
      </c>
      <c r="L186" s="44">
        <f>'Data Sheet'!M186</f>
        <v>0</v>
      </c>
      <c r="M186" s="5"/>
      <c r="N186" s="44">
        <f>'Data Sheet'!O186</f>
        <v>0</v>
      </c>
      <c r="O186" s="44">
        <f>'Data Sheet'!P186</f>
        <v>0</v>
      </c>
      <c r="P186" s="44">
        <f>'Data Sheet'!Q186</f>
        <v>0</v>
      </c>
      <c r="Q186" s="44">
        <f>'Data Sheet'!R186</f>
        <v>0</v>
      </c>
      <c r="R186" s="44">
        <f>'Data Sheet'!S186</f>
        <v>0</v>
      </c>
      <c r="S186" s="44">
        <f>'Data Sheet'!T186</f>
        <v>0</v>
      </c>
      <c r="T186" s="44">
        <f>'Data Sheet'!U186</f>
        <v>0</v>
      </c>
      <c r="U186" s="44">
        <f>'Data Sheet'!V186</f>
        <v>0</v>
      </c>
      <c r="V186" s="5"/>
      <c r="W186" s="16" t="str">
        <f t="shared" si="23"/>
        <v/>
      </c>
      <c r="X186" s="10">
        <v>0</v>
      </c>
      <c r="Y186" s="11">
        <v>0</v>
      </c>
      <c r="Z186" s="11">
        <v>0</v>
      </c>
      <c r="AA186" s="11">
        <v>0</v>
      </c>
      <c r="AB186" s="11">
        <v>0</v>
      </c>
      <c r="AC186" s="11">
        <v>0</v>
      </c>
      <c r="AD186" s="11">
        <v>0</v>
      </c>
      <c r="AE186" s="12">
        <v>0</v>
      </c>
      <c r="AG186" s="45">
        <f t="shared" si="26"/>
        <v>0</v>
      </c>
      <c r="AH186" s="45">
        <f t="shared" si="24"/>
        <v>0</v>
      </c>
      <c r="AI186" s="45">
        <f t="shared" si="27"/>
        <v>0</v>
      </c>
      <c r="AJ186" s="45">
        <f t="shared" si="28"/>
        <v>0</v>
      </c>
      <c r="AK186" s="45">
        <f t="shared" si="25"/>
        <v>0</v>
      </c>
      <c r="AL186" s="1">
        <f t="shared" si="34"/>
        <v>0</v>
      </c>
      <c r="AM186" s="1">
        <f t="shared" si="30"/>
        <v>0</v>
      </c>
      <c r="AO186" s="45">
        <f t="shared" si="31"/>
        <v>0</v>
      </c>
      <c r="AP186" s="45">
        <f t="shared" si="32"/>
        <v>0</v>
      </c>
      <c r="AQ186" s="45">
        <f t="shared" si="33"/>
        <v>0</v>
      </c>
    </row>
    <row r="187" spans="1:43" ht="15" thickTop="1" thickBot="1" x14ac:dyDescent="0.5">
      <c r="A187" s="68" t="str">
        <f>IF(ISTEXT('Data Sheet'!B187),'Data Sheet'!B187&amp;" "&amp;'Data Sheet'!A187,"")</f>
        <v/>
      </c>
      <c r="B187" s="70">
        <f>'Data Sheet'!C187</f>
        <v>185</v>
      </c>
      <c r="C187" s="38"/>
      <c r="D187" s="44">
        <f>'Data Sheet'!E187</f>
        <v>0</v>
      </c>
      <c r="E187" s="44">
        <f>'Data Sheet'!F187</f>
        <v>0</v>
      </c>
      <c r="F187" s="44">
        <f>'Data Sheet'!G187</f>
        <v>0</v>
      </c>
      <c r="G187" s="44">
        <f>'Data Sheet'!H187</f>
        <v>0</v>
      </c>
      <c r="H187" s="44">
        <f>'Data Sheet'!I187</f>
        <v>0</v>
      </c>
      <c r="I187" s="44">
        <f>'Data Sheet'!J187</f>
        <v>0</v>
      </c>
      <c r="J187" s="44">
        <f>'Data Sheet'!K187</f>
        <v>0</v>
      </c>
      <c r="K187" s="44">
        <f>'Data Sheet'!L187</f>
        <v>0</v>
      </c>
      <c r="L187" s="44">
        <f>'Data Sheet'!M187</f>
        <v>0</v>
      </c>
      <c r="M187" s="5"/>
      <c r="N187" s="44">
        <f>'Data Sheet'!O187</f>
        <v>0</v>
      </c>
      <c r="O187" s="44">
        <f>'Data Sheet'!P187</f>
        <v>0</v>
      </c>
      <c r="P187" s="44">
        <f>'Data Sheet'!Q187</f>
        <v>0</v>
      </c>
      <c r="Q187" s="44">
        <f>'Data Sheet'!R187</f>
        <v>0</v>
      </c>
      <c r="R187" s="44">
        <f>'Data Sheet'!S187</f>
        <v>0</v>
      </c>
      <c r="S187" s="44">
        <f>'Data Sheet'!T187</f>
        <v>0</v>
      </c>
      <c r="T187" s="44">
        <f>'Data Sheet'!U187</f>
        <v>0</v>
      </c>
      <c r="U187" s="44">
        <f>'Data Sheet'!V187</f>
        <v>0</v>
      </c>
      <c r="V187" s="5"/>
      <c r="W187" s="16" t="str">
        <f t="shared" si="23"/>
        <v/>
      </c>
      <c r="X187" s="10">
        <v>0</v>
      </c>
      <c r="Y187" s="11">
        <v>0</v>
      </c>
      <c r="Z187" s="11">
        <v>0</v>
      </c>
      <c r="AA187" s="11">
        <v>0</v>
      </c>
      <c r="AB187" s="11">
        <v>0</v>
      </c>
      <c r="AC187" s="11">
        <v>0</v>
      </c>
      <c r="AD187" s="11">
        <v>0</v>
      </c>
      <c r="AE187" s="12">
        <v>0</v>
      </c>
      <c r="AG187" s="45">
        <f t="shared" si="26"/>
        <v>0</v>
      </c>
      <c r="AH187" s="45">
        <f t="shared" si="24"/>
        <v>0</v>
      </c>
      <c r="AI187" s="45">
        <f t="shared" si="27"/>
        <v>0</v>
      </c>
      <c r="AJ187" s="45">
        <f t="shared" si="28"/>
        <v>0</v>
      </c>
      <c r="AK187" s="45">
        <f t="shared" si="25"/>
        <v>0</v>
      </c>
      <c r="AL187" s="1">
        <f t="shared" si="34"/>
        <v>0</v>
      </c>
      <c r="AM187" s="1">
        <f t="shared" si="30"/>
        <v>0</v>
      </c>
      <c r="AO187" s="45">
        <f t="shared" si="31"/>
        <v>0</v>
      </c>
      <c r="AP187" s="45">
        <f t="shared" si="32"/>
        <v>0</v>
      </c>
      <c r="AQ187" s="45">
        <f t="shared" si="33"/>
        <v>0</v>
      </c>
    </row>
    <row r="188" spans="1:43" ht="15" thickTop="1" thickBot="1" x14ac:dyDescent="0.5">
      <c r="A188" s="68" t="str">
        <f>IF(ISTEXT('Data Sheet'!B188),'Data Sheet'!B188&amp;" "&amp;'Data Sheet'!A188,"")</f>
        <v/>
      </c>
      <c r="B188" s="70">
        <f>'Data Sheet'!C188</f>
        <v>186</v>
      </c>
      <c r="C188" s="38"/>
      <c r="D188" s="44">
        <f>'Data Sheet'!E188</f>
        <v>0</v>
      </c>
      <c r="E188" s="44">
        <f>'Data Sheet'!F188</f>
        <v>0</v>
      </c>
      <c r="F188" s="44">
        <f>'Data Sheet'!G188</f>
        <v>0</v>
      </c>
      <c r="G188" s="44">
        <f>'Data Sheet'!H188</f>
        <v>0</v>
      </c>
      <c r="H188" s="44">
        <f>'Data Sheet'!I188</f>
        <v>0</v>
      </c>
      <c r="I188" s="44">
        <f>'Data Sheet'!J188</f>
        <v>0</v>
      </c>
      <c r="J188" s="44">
        <f>'Data Sheet'!K188</f>
        <v>0</v>
      </c>
      <c r="K188" s="44">
        <f>'Data Sheet'!L188</f>
        <v>0</v>
      </c>
      <c r="L188" s="44">
        <f>'Data Sheet'!M188</f>
        <v>0</v>
      </c>
      <c r="M188" s="5"/>
      <c r="N188" s="44">
        <f>'Data Sheet'!O188</f>
        <v>0</v>
      </c>
      <c r="O188" s="44">
        <f>'Data Sheet'!P188</f>
        <v>0</v>
      </c>
      <c r="P188" s="44">
        <f>'Data Sheet'!Q188</f>
        <v>0</v>
      </c>
      <c r="Q188" s="44">
        <f>'Data Sheet'!R188</f>
        <v>0</v>
      </c>
      <c r="R188" s="44">
        <f>'Data Sheet'!S188</f>
        <v>0</v>
      </c>
      <c r="S188" s="44">
        <f>'Data Sheet'!T188</f>
        <v>0</v>
      </c>
      <c r="T188" s="44">
        <f>'Data Sheet'!U188</f>
        <v>0</v>
      </c>
      <c r="U188" s="44">
        <f>'Data Sheet'!V188</f>
        <v>0</v>
      </c>
      <c r="V188" s="5"/>
      <c r="W188" s="16" t="str">
        <f t="shared" si="23"/>
        <v/>
      </c>
      <c r="X188" s="10">
        <v>0</v>
      </c>
      <c r="Y188" s="11">
        <v>0</v>
      </c>
      <c r="Z188" s="11">
        <v>0</v>
      </c>
      <c r="AA188" s="11">
        <v>0</v>
      </c>
      <c r="AB188" s="11">
        <v>0</v>
      </c>
      <c r="AC188" s="11">
        <v>0</v>
      </c>
      <c r="AD188" s="11">
        <v>0</v>
      </c>
      <c r="AE188" s="12">
        <v>0</v>
      </c>
      <c r="AG188" s="45">
        <f t="shared" si="26"/>
        <v>0</v>
      </c>
      <c r="AH188" s="45">
        <f t="shared" si="24"/>
        <v>0</v>
      </c>
      <c r="AI188" s="45">
        <f t="shared" si="27"/>
        <v>0</v>
      </c>
      <c r="AJ188" s="45">
        <f t="shared" si="28"/>
        <v>0</v>
      </c>
      <c r="AK188" s="45">
        <f t="shared" si="25"/>
        <v>0</v>
      </c>
      <c r="AL188" s="1">
        <f t="shared" si="34"/>
        <v>0</v>
      </c>
      <c r="AM188" s="1">
        <f t="shared" si="30"/>
        <v>0</v>
      </c>
      <c r="AO188" s="45">
        <f t="shared" si="31"/>
        <v>0</v>
      </c>
      <c r="AP188" s="45">
        <f t="shared" si="32"/>
        <v>0</v>
      </c>
      <c r="AQ188" s="45">
        <f t="shared" si="33"/>
        <v>0</v>
      </c>
    </row>
    <row r="189" spans="1:43" ht="15" thickTop="1" thickBot="1" x14ac:dyDescent="0.5">
      <c r="A189" s="68" t="str">
        <f>IF(ISTEXT('Data Sheet'!B189),'Data Sheet'!B189&amp;" "&amp;'Data Sheet'!A189,"")</f>
        <v/>
      </c>
      <c r="B189" s="70">
        <f>'Data Sheet'!C189</f>
        <v>187</v>
      </c>
      <c r="C189" s="38"/>
      <c r="D189" s="44">
        <f>'Data Sheet'!E189</f>
        <v>0</v>
      </c>
      <c r="E189" s="44">
        <f>'Data Sheet'!F189</f>
        <v>0</v>
      </c>
      <c r="F189" s="44">
        <f>'Data Sheet'!G189</f>
        <v>0</v>
      </c>
      <c r="G189" s="44">
        <f>'Data Sheet'!H189</f>
        <v>0</v>
      </c>
      <c r="H189" s="44">
        <f>'Data Sheet'!I189</f>
        <v>0</v>
      </c>
      <c r="I189" s="44">
        <f>'Data Sheet'!J189</f>
        <v>0</v>
      </c>
      <c r="J189" s="44">
        <f>'Data Sheet'!K189</f>
        <v>0</v>
      </c>
      <c r="K189" s="44">
        <f>'Data Sheet'!L189</f>
        <v>0</v>
      </c>
      <c r="L189" s="44">
        <f>'Data Sheet'!M189</f>
        <v>0</v>
      </c>
      <c r="M189" s="5"/>
      <c r="N189" s="44">
        <f>'Data Sheet'!O189</f>
        <v>0</v>
      </c>
      <c r="O189" s="44">
        <f>'Data Sheet'!P189</f>
        <v>0</v>
      </c>
      <c r="P189" s="44">
        <f>'Data Sheet'!Q189</f>
        <v>0</v>
      </c>
      <c r="Q189" s="44">
        <f>'Data Sheet'!R189</f>
        <v>0</v>
      </c>
      <c r="R189" s="44">
        <f>'Data Sheet'!S189</f>
        <v>0</v>
      </c>
      <c r="S189" s="44">
        <f>'Data Sheet'!T189</f>
        <v>0</v>
      </c>
      <c r="T189" s="44">
        <f>'Data Sheet'!U189</f>
        <v>0</v>
      </c>
      <c r="U189" s="44">
        <f>'Data Sheet'!V189</f>
        <v>0</v>
      </c>
      <c r="V189" s="5"/>
      <c r="W189" s="16" t="str">
        <f t="shared" si="23"/>
        <v/>
      </c>
      <c r="X189" s="10">
        <v>0</v>
      </c>
      <c r="Y189" s="11">
        <v>0</v>
      </c>
      <c r="Z189" s="11">
        <v>0</v>
      </c>
      <c r="AA189" s="11">
        <v>0</v>
      </c>
      <c r="AB189" s="11">
        <v>0</v>
      </c>
      <c r="AC189" s="11">
        <v>0</v>
      </c>
      <c r="AD189" s="11">
        <v>0</v>
      </c>
      <c r="AE189" s="12">
        <v>0</v>
      </c>
      <c r="AG189" s="45">
        <f t="shared" si="26"/>
        <v>0</v>
      </c>
      <c r="AH189" s="45">
        <f t="shared" si="24"/>
        <v>0</v>
      </c>
      <c r="AI189" s="45">
        <f t="shared" si="27"/>
        <v>0</v>
      </c>
      <c r="AJ189" s="45">
        <f t="shared" si="28"/>
        <v>0</v>
      </c>
      <c r="AK189" s="45">
        <f t="shared" si="25"/>
        <v>0</v>
      </c>
      <c r="AL189" s="1">
        <f t="shared" si="34"/>
        <v>0</v>
      </c>
      <c r="AM189" s="1">
        <f t="shared" si="30"/>
        <v>0</v>
      </c>
      <c r="AO189" s="45">
        <f t="shared" si="31"/>
        <v>0</v>
      </c>
      <c r="AP189" s="45">
        <f t="shared" si="32"/>
        <v>0</v>
      </c>
      <c r="AQ189" s="45">
        <f t="shared" si="33"/>
        <v>0</v>
      </c>
    </row>
    <row r="190" spans="1:43" ht="15" thickTop="1" thickBot="1" x14ac:dyDescent="0.5">
      <c r="A190" s="68" t="str">
        <f>IF(ISTEXT('Data Sheet'!B190),'Data Sheet'!B190&amp;" "&amp;'Data Sheet'!A190,"")</f>
        <v/>
      </c>
      <c r="B190" s="70">
        <f>'Data Sheet'!C190</f>
        <v>188</v>
      </c>
      <c r="C190" s="38"/>
      <c r="D190" s="44">
        <f>'Data Sheet'!E190</f>
        <v>0</v>
      </c>
      <c r="E190" s="44">
        <f>'Data Sheet'!F190</f>
        <v>0</v>
      </c>
      <c r="F190" s="44">
        <f>'Data Sheet'!G190</f>
        <v>0</v>
      </c>
      <c r="G190" s="44">
        <f>'Data Sheet'!H190</f>
        <v>0</v>
      </c>
      <c r="H190" s="44">
        <f>'Data Sheet'!I190</f>
        <v>0</v>
      </c>
      <c r="I190" s="44">
        <f>'Data Sheet'!J190</f>
        <v>0</v>
      </c>
      <c r="J190" s="44">
        <f>'Data Sheet'!K190</f>
        <v>0</v>
      </c>
      <c r="K190" s="44">
        <f>'Data Sheet'!L190</f>
        <v>0</v>
      </c>
      <c r="L190" s="44">
        <f>'Data Sheet'!M190</f>
        <v>0</v>
      </c>
      <c r="M190" s="5"/>
      <c r="N190" s="44">
        <f>'Data Sheet'!O190</f>
        <v>0</v>
      </c>
      <c r="O190" s="44">
        <f>'Data Sheet'!P190</f>
        <v>0</v>
      </c>
      <c r="P190" s="44">
        <f>'Data Sheet'!Q190</f>
        <v>0</v>
      </c>
      <c r="Q190" s="44">
        <f>'Data Sheet'!R190</f>
        <v>0</v>
      </c>
      <c r="R190" s="44">
        <f>'Data Sheet'!S190</f>
        <v>0</v>
      </c>
      <c r="S190" s="44">
        <f>'Data Sheet'!T190</f>
        <v>0</v>
      </c>
      <c r="T190" s="44">
        <f>'Data Sheet'!U190</f>
        <v>0</v>
      </c>
      <c r="U190" s="44">
        <f>'Data Sheet'!V190</f>
        <v>0</v>
      </c>
      <c r="V190" s="5"/>
      <c r="W190" s="16" t="str">
        <f t="shared" si="23"/>
        <v/>
      </c>
      <c r="X190" s="10">
        <v>0</v>
      </c>
      <c r="Y190" s="11">
        <v>0</v>
      </c>
      <c r="Z190" s="11">
        <v>0</v>
      </c>
      <c r="AA190" s="11">
        <v>0</v>
      </c>
      <c r="AB190" s="11">
        <v>0</v>
      </c>
      <c r="AC190" s="11">
        <v>0</v>
      </c>
      <c r="AD190" s="11">
        <v>0</v>
      </c>
      <c r="AE190" s="12">
        <v>0</v>
      </c>
      <c r="AG190" s="45">
        <f t="shared" si="26"/>
        <v>0</v>
      </c>
      <c r="AH190" s="45">
        <f t="shared" si="24"/>
        <v>0</v>
      </c>
      <c r="AI190" s="45">
        <f t="shared" si="27"/>
        <v>0</v>
      </c>
      <c r="AJ190" s="45">
        <f t="shared" si="28"/>
        <v>0</v>
      </c>
      <c r="AK190" s="45">
        <f t="shared" si="25"/>
        <v>0</v>
      </c>
      <c r="AL190" s="1">
        <f t="shared" si="34"/>
        <v>0</v>
      </c>
      <c r="AM190" s="1">
        <f t="shared" si="30"/>
        <v>0</v>
      </c>
      <c r="AO190" s="45">
        <f t="shared" si="31"/>
        <v>0</v>
      </c>
      <c r="AP190" s="45">
        <f t="shared" si="32"/>
        <v>0</v>
      </c>
      <c r="AQ190" s="45">
        <f t="shared" si="33"/>
        <v>0</v>
      </c>
    </row>
    <row r="191" spans="1:43" ht="15" thickTop="1" thickBot="1" x14ac:dyDescent="0.5">
      <c r="A191" s="68" t="str">
        <f>IF(ISTEXT('Data Sheet'!B191),'Data Sheet'!B191&amp;" "&amp;'Data Sheet'!A191,"")</f>
        <v/>
      </c>
      <c r="B191" s="70">
        <f>'Data Sheet'!C191</f>
        <v>189</v>
      </c>
      <c r="C191" s="38"/>
      <c r="D191" s="44">
        <f>'Data Sheet'!E191</f>
        <v>0</v>
      </c>
      <c r="E191" s="44">
        <f>'Data Sheet'!F191</f>
        <v>0</v>
      </c>
      <c r="F191" s="44">
        <f>'Data Sheet'!G191</f>
        <v>0</v>
      </c>
      <c r="G191" s="44">
        <f>'Data Sheet'!H191</f>
        <v>0</v>
      </c>
      <c r="H191" s="44">
        <f>'Data Sheet'!I191</f>
        <v>0</v>
      </c>
      <c r="I191" s="44">
        <f>'Data Sheet'!J191</f>
        <v>0</v>
      </c>
      <c r="J191" s="44">
        <f>'Data Sheet'!K191</f>
        <v>0</v>
      </c>
      <c r="K191" s="44">
        <f>'Data Sheet'!L191</f>
        <v>0</v>
      </c>
      <c r="L191" s="44">
        <f>'Data Sheet'!M191</f>
        <v>0</v>
      </c>
      <c r="M191" s="5"/>
      <c r="N191" s="44">
        <f>'Data Sheet'!O191</f>
        <v>0</v>
      </c>
      <c r="O191" s="44">
        <f>'Data Sheet'!P191</f>
        <v>0</v>
      </c>
      <c r="P191" s="44">
        <f>'Data Sheet'!Q191</f>
        <v>0</v>
      </c>
      <c r="Q191" s="44">
        <f>'Data Sheet'!R191</f>
        <v>0</v>
      </c>
      <c r="R191" s="44">
        <f>'Data Sheet'!S191</f>
        <v>0</v>
      </c>
      <c r="S191" s="44">
        <f>'Data Sheet'!T191</f>
        <v>0</v>
      </c>
      <c r="T191" s="44">
        <f>'Data Sheet'!U191</f>
        <v>0</v>
      </c>
      <c r="U191" s="44">
        <f>'Data Sheet'!V191</f>
        <v>0</v>
      </c>
      <c r="V191" s="5"/>
      <c r="W191" s="16" t="str">
        <f t="shared" si="23"/>
        <v/>
      </c>
      <c r="X191" s="10">
        <v>0</v>
      </c>
      <c r="Y191" s="11">
        <v>0</v>
      </c>
      <c r="Z191" s="11">
        <v>0</v>
      </c>
      <c r="AA191" s="11">
        <v>0</v>
      </c>
      <c r="AB191" s="11">
        <v>0</v>
      </c>
      <c r="AC191" s="11">
        <v>0</v>
      </c>
      <c r="AD191" s="11">
        <v>0</v>
      </c>
      <c r="AE191" s="12">
        <v>0</v>
      </c>
      <c r="AG191" s="45">
        <f t="shared" si="26"/>
        <v>0</v>
      </c>
      <c r="AH191" s="45">
        <f t="shared" si="24"/>
        <v>0</v>
      </c>
      <c r="AI191" s="45">
        <f t="shared" si="27"/>
        <v>0</v>
      </c>
      <c r="AJ191" s="45">
        <f t="shared" si="28"/>
        <v>0</v>
      </c>
      <c r="AK191" s="45">
        <f t="shared" si="25"/>
        <v>0</v>
      </c>
      <c r="AL191" s="1">
        <f t="shared" si="34"/>
        <v>0</v>
      </c>
      <c r="AM191" s="1">
        <f t="shared" si="30"/>
        <v>0</v>
      </c>
      <c r="AO191" s="45">
        <f t="shared" si="31"/>
        <v>0</v>
      </c>
      <c r="AP191" s="45">
        <f t="shared" si="32"/>
        <v>0</v>
      </c>
      <c r="AQ191" s="45">
        <f t="shared" si="33"/>
        <v>0</v>
      </c>
    </row>
    <row r="192" spans="1:43" ht="15" thickTop="1" thickBot="1" x14ac:dyDescent="0.5">
      <c r="A192" s="68" t="str">
        <f>IF(ISTEXT('Data Sheet'!B192),'Data Sheet'!B192&amp;" "&amp;'Data Sheet'!A192,"")</f>
        <v/>
      </c>
      <c r="B192" s="70">
        <f>'Data Sheet'!C192</f>
        <v>190</v>
      </c>
      <c r="C192" s="38"/>
      <c r="D192" s="44">
        <f>'Data Sheet'!E192</f>
        <v>0</v>
      </c>
      <c r="E192" s="44">
        <f>'Data Sheet'!F192</f>
        <v>0</v>
      </c>
      <c r="F192" s="44">
        <f>'Data Sheet'!G192</f>
        <v>0</v>
      </c>
      <c r="G192" s="44">
        <f>'Data Sheet'!H192</f>
        <v>0</v>
      </c>
      <c r="H192" s="44">
        <f>'Data Sheet'!I192</f>
        <v>0</v>
      </c>
      <c r="I192" s="44">
        <f>'Data Sheet'!J192</f>
        <v>0</v>
      </c>
      <c r="J192" s="44">
        <f>'Data Sheet'!K192</f>
        <v>0</v>
      </c>
      <c r="K192" s="44">
        <f>'Data Sheet'!L192</f>
        <v>0</v>
      </c>
      <c r="L192" s="44">
        <f>'Data Sheet'!M192</f>
        <v>0</v>
      </c>
      <c r="M192" s="5"/>
      <c r="N192" s="44">
        <f>'Data Sheet'!O192</f>
        <v>0</v>
      </c>
      <c r="O192" s="44">
        <f>'Data Sheet'!P192</f>
        <v>0</v>
      </c>
      <c r="P192" s="44">
        <f>'Data Sheet'!Q192</f>
        <v>0</v>
      </c>
      <c r="Q192" s="44">
        <f>'Data Sheet'!R192</f>
        <v>0</v>
      </c>
      <c r="R192" s="44">
        <f>'Data Sheet'!S192</f>
        <v>0</v>
      </c>
      <c r="S192" s="44">
        <f>'Data Sheet'!T192</f>
        <v>0</v>
      </c>
      <c r="T192" s="44">
        <f>'Data Sheet'!U192</f>
        <v>0</v>
      </c>
      <c r="U192" s="44">
        <f>'Data Sheet'!V192</f>
        <v>0</v>
      </c>
      <c r="V192" s="5"/>
      <c r="W192" s="16" t="str">
        <f t="shared" si="23"/>
        <v/>
      </c>
      <c r="X192" s="10">
        <v>0</v>
      </c>
      <c r="Y192" s="11">
        <v>0</v>
      </c>
      <c r="Z192" s="11">
        <v>0</v>
      </c>
      <c r="AA192" s="11">
        <v>0</v>
      </c>
      <c r="AB192" s="11">
        <v>0</v>
      </c>
      <c r="AC192" s="11">
        <v>0</v>
      </c>
      <c r="AD192" s="11">
        <v>0</v>
      </c>
      <c r="AE192" s="12">
        <v>0</v>
      </c>
      <c r="AG192" s="45">
        <f t="shared" si="26"/>
        <v>0</v>
      </c>
      <c r="AH192" s="45">
        <f t="shared" si="24"/>
        <v>0</v>
      </c>
      <c r="AI192" s="45">
        <f t="shared" si="27"/>
        <v>0</v>
      </c>
      <c r="AJ192" s="45">
        <f t="shared" si="28"/>
        <v>0</v>
      </c>
      <c r="AK192" s="45">
        <f t="shared" si="25"/>
        <v>0</v>
      </c>
      <c r="AL192" s="1">
        <f t="shared" si="34"/>
        <v>0</v>
      </c>
      <c r="AM192" s="1">
        <f t="shared" si="30"/>
        <v>0</v>
      </c>
      <c r="AO192" s="45">
        <f t="shared" si="31"/>
        <v>0</v>
      </c>
      <c r="AP192" s="45">
        <f t="shared" si="32"/>
        <v>0</v>
      </c>
      <c r="AQ192" s="45">
        <f t="shared" si="33"/>
        <v>0</v>
      </c>
    </row>
    <row r="193" spans="1:43" ht="15" thickTop="1" thickBot="1" x14ac:dyDescent="0.5">
      <c r="A193" s="68" t="str">
        <f>IF(ISTEXT('Data Sheet'!B193),'Data Sheet'!B193&amp;" "&amp;'Data Sheet'!A193,"")</f>
        <v/>
      </c>
      <c r="B193" s="70">
        <f>'Data Sheet'!C193</f>
        <v>191</v>
      </c>
      <c r="C193" s="38"/>
      <c r="D193" s="44">
        <f>'Data Sheet'!E193</f>
        <v>0</v>
      </c>
      <c r="E193" s="44">
        <f>'Data Sheet'!F193</f>
        <v>0</v>
      </c>
      <c r="F193" s="44">
        <f>'Data Sheet'!G193</f>
        <v>0</v>
      </c>
      <c r="G193" s="44">
        <f>'Data Sheet'!H193</f>
        <v>0</v>
      </c>
      <c r="H193" s="44">
        <f>'Data Sheet'!I193</f>
        <v>0</v>
      </c>
      <c r="I193" s="44">
        <f>'Data Sheet'!J193</f>
        <v>0</v>
      </c>
      <c r="J193" s="44">
        <f>'Data Sheet'!K193</f>
        <v>0</v>
      </c>
      <c r="K193" s="44">
        <f>'Data Sheet'!L193</f>
        <v>0</v>
      </c>
      <c r="L193" s="44">
        <f>'Data Sheet'!M193</f>
        <v>0</v>
      </c>
      <c r="M193" s="5"/>
      <c r="N193" s="44">
        <f>'Data Sheet'!O193</f>
        <v>0</v>
      </c>
      <c r="O193" s="44">
        <f>'Data Sheet'!P193</f>
        <v>0</v>
      </c>
      <c r="P193" s="44">
        <f>'Data Sheet'!Q193</f>
        <v>0</v>
      </c>
      <c r="Q193" s="44">
        <f>'Data Sheet'!R193</f>
        <v>0</v>
      </c>
      <c r="R193" s="44">
        <f>'Data Sheet'!S193</f>
        <v>0</v>
      </c>
      <c r="S193" s="44">
        <f>'Data Sheet'!T193</f>
        <v>0</v>
      </c>
      <c r="T193" s="44">
        <f>'Data Sheet'!U193</f>
        <v>0</v>
      </c>
      <c r="U193" s="44">
        <f>'Data Sheet'!V193</f>
        <v>0</v>
      </c>
      <c r="V193" s="5"/>
      <c r="W193" s="16" t="str">
        <f t="shared" si="23"/>
        <v/>
      </c>
      <c r="X193" s="10">
        <v>0</v>
      </c>
      <c r="Y193" s="11">
        <v>0</v>
      </c>
      <c r="Z193" s="11">
        <v>0</v>
      </c>
      <c r="AA193" s="11">
        <v>0</v>
      </c>
      <c r="AB193" s="11">
        <v>0</v>
      </c>
      <c r="AC193" s="11">
        <v>0</v>
      </c>
      <c r="AD193" s="11">
        <v>0</v>
      </c>
      <c r="AE193" s="12">
        <v>0</v>
      </c>
      <c r="AG193" s="45">
        <f t="shared" si="26"/>
        <v>0</v>
      </c>
      <c r="AH193" s="45">
        <f t="shared" si="24"/>
        <v>0</v>
      </c>
      <c r="AI193" s="45">
        <f t="shared" si="27"/>
        <v>0</v>
      </c>
      <c r="AJ193" s="45">
        <f t="shared" si="28"/>
        <v>0</v>
      </c>
      <c r="AK193" s="45">
        <f t="shared" si="25"/>
        <v>0</v>
      </c>
      <c r="AL193" s="1">
        <f t="shared" si="34"/>
        <v>0</v>
      </c>
      <c r="AM193" s="1">
        <f t="shared" si="30"/>
        <v>0</v>
      </c>
      <c r="AO193" s="45">
        <f t="shared" si="31"/>
        <v>0</v>
      </c>
      <c r="AP193" s="45">
        <f t="shared" si="32"/>
        <v>0</v>
      </c>
      <c r="AQ193" s="45">
        <f t="shared" si="33"/>
        <v>0</v>
      </c>
    </row>
    <row r="194" spans="1:43" ht="15" thickTop="1" thickBot="1" x14ac:dyDescent="0.5">
      <c r="A194" s="68" t="str">
        <f>IF(ISTEXT('Data Sheet'!B194),'Data Sheet'!B194&amp;" "&amp;'Data Sheet'!A194,"")</f>
        <v/>
      </c>
      <c r="B194" s="70">
        <f>'Data Sheet'!C194</f>
        <v>192</v>
      </c>
      <c r="C194" s="38"/>
      <c r="D194" s="44">
        <f>'Data Sheet'!E194</f>
        <v>0</v>
      </c>
      <c r="E194" s="44">
        <f>'Data Sheet'!F194</f>
        <v>0</v>
      </c>
      <c r="F194" s="44">
        <f>'Data Sheet'!G194</f>
        <v>0</v>
      </c>
      <c r="G194" s="44">
        <f>'Data Sheet'!H194</f>
        <v>0</v>
      </c>
      <c r="H194" s="44">
        <f>'Data Sheet'!I194</f>
        <v>0</v>
      </c>
      <c r="I194" s="44">
        <f>'Data Sheet'!J194</f>
        <v>0</v>
      </c>
      <c r="J194" s="44">
        <f>'Data Sheet'!K194</f>
        <v>0</v>
      </c>
      <c r="K194" s="44">
        <f>'Data Sheet'!L194</f>
        <v>0</v>
      </c>
      <c r="L194" s="44">
        <f>'Data Sheet'!M194</f>
        <v>0</v>
      </c>
      <c r="M194" s="5"/>
      <c r="N194" s="44">
        <f>'Data Sheet'!O194</f>
        <v>0</v>
      </c>
      <c r="O194" s="44">
        <f>'Data Sheet'!P194</f>
        <v>0</v>
      </c>
      <c r="P194" s="44">
        <f>'Data Sheet'!Q194</f>
        <v>0</v>
      </c>
      <c r="Q194" s="44">
        <f>'Data Sheet'!R194</f>
        <v>0</v>
      </c>
      <c r="R194" s="44">
        <f>'Data Sheet'!S194</f>
        <v>0</v>
      </c>
      <c r="S194" s="44">
        <f>'Data Sheet'!T194</f>
        <v>0</v>
      </c>
      <c r="T194" s="44">
        <f>'Data Sheet'!U194</f>
        <v>0</v>
      </c>
      <c r="U194" s="44">
        <f>'Data Sheet'!V194</f>
        <v>0</v>
      </c>
      <c r="V194" s="5"/>
      <c r="W194" s="16" t="str">
        <f t="shared" si="23"/>
        <v/>
      </c>
      <c r="X194" s="10">
        <v>0</v>
      </c>
      <c r="Y194" s="11">
        <v>0</v>
      </c>
      <c r="Z194" s="11">
        <v>0</v>
      </c>
      <c r="AA194" s="11">
        <v>0</v>
      </c>
      <c r="AB194" s="11">
        <v>0</v>
      </c>
      <c r="AC194" s="11">
        <v>0</v>
      </c>
      <c r="AD194" s="11">
        <v>0</v>
      </c>
      <c r="AE194" s="12">
        <v>0</v>
      </c>
      <c r="AG194" s="45">
        <f t="shared" si="26"/>
        <v>0</v>
      </c>
      <c r="AH194" s="45">
        <f t="shared" si="24"/>
        <v>0</v>
      </c>
      <c r="AI194" s="45">
        <f t="shared" si="27"/>
        <v>0</v>
      </c>
      <c r="AJ194" s="45">
        <f t="shared" si="28"/>
        <v>0</v>
      </c>
      <c r="AK194" s="45">
        <f t="shared" si="25"/>
        <v>0</v>
      </c>
      <c r="AL194" s="1">
        <f t="shared" si="34"/>
        <v>0</v>
      </c>
      <c r="AM194" s="1">
        <f t="shared" si="30"/>
        <v>0</v>
      </c>
      <c r="AO194" s="45">
        <f t="shared" si="31"/>
        <v>0</v>
      </c>
      <c r="AP194" s="45">
        <f t="shared" si="32"/>
        <v>0</v>
      </c>
      <c r="AQ194" s="45">
        <f t="shared" si="33"/>
        <v>0</v>
      </c>
    </row>
    <row r="195" spans="1:43" ht="15" thickTop="1" thickBot="1" x14ac:dyDescent="0.5">
      <c r="A195" s="68" t="str">
        <f>IF(ISTEXT('Data Sheet'!B195),'Data Sheet'!B195&amp;" "&amp;'Data Sheet'!A195,"")</f>
        <v/>
      </c>
      <c r="B195" s="70">
        <f>'Data Sheet'!C195</f>
        <v>193</v>
      </c>
      <c r="C195" s="38"/>
      <c r="D195" s="44">
        <f>'Data Sheet'!E195</f>
        <v>0</v>
      </c>
      <c r="E195" s="44">
        <f>'Data Sheet'!F195</f>
        <v>0</v>
      </c>
      <c r="F195" s="44">
        <f>'Data Sheet'!G195</f>
        <v>0</v>
      </c>
      <c r="G195" s="44">
        <f>'Data Sheet'!H195</f>
        <v>0</v>
      </c>
      <c r="H195" s="44">
        <f>'Data Sheet'!I195</f>
        <v>0</v>
      </c>
      <c r="I195" s="44">
        <f>'Data Sheet'!J195</f>
        <v>0</v>
      </c>
      <c r="J195" s="44">
        <f>'Data Sheet'!K195</f>
        <v>0</v>
      </c>
      <c r="K195" s="44">
        <f>'Data Sheet'!L195</f>
        <v>0</v>
      </c>
      <c r="L195" s="44">
        <f>'Data Sheet'!M195</f>
        <v>0</v>
      </c>
      <c r="M195" s="5"/>
      <c r="N195" s="44">
        <f>'Data Sheet'!O195</f>
        <v>0</v>
      </c>
      <c r="O195" s="44">
        <f>'Data Sheet'!P195</f>
        <v>0</v>
      </c>
      <c r="P195" s="44">
        <f>'Data Sheet'!Q195</f>
        <v>0</v>
      </c>
      <c r="Q195" s="44">
        <f>'Data Sheet'!R195</f>
        <v>0</v>
      </c>
      <c r="R195" s="44">
        <f>'Data Sheet'!S195</f>
        <v>0</v>
      </c>
      <c r="S195" s="44">
        <f>'Data Sheet'!T195</f>
        <v>0</v>
      </c>
      <c r="T195" s="44">
        <f>'Data Sheet'!U195</f>
        <v>0</v>
      </c>
      <c r="U195" s="44">
        <f>'Data Sheet'!V195</f>
        <v>0</v>
      </c>
      <c r="V195" s="5"/>
      <c r="W195" s="16" t="str">
        <f t="shared" si="23"/>
        <v/>
      </c>
      <c r="X195" s="10">
        <v>0</v>
      </c>
      <c r="Y195" s="11">
        <v>0</v>
      </c>
      <c r="Z195" s="11">
        <v>0</v>
      </c>
      <c r="AA195" s="11">
        <v>0</v>
      </c>
      <c r="AB195" s="11">
        <v>0</v>
      </c>
      <c r="AC195" s="11">
        <v>0</v>
      </c>
      <c r="AD195" s="11">
        <v>0</v>
      </c>
      <c r="AE195" s="12">
        <v>0</v>
      </c>
      <c r="AG195" s="45">
        <f t="shared" si="26"/>
        <v>0</v>
      </c>
      <c r="AH195" s="45">
        <f t="shared" si="24"/>
        <v>0</v>
      </c>
      <c r="AI195" s="45">
        <f t="shared" si="27"/>
        <v>0</v>
      </c>
      <c r="AJ195" s="45">
        <f t="shared" si="28"/>
        <v>0</v>
      </c>
      <c r="AK195" s="45">
        <f t="shared" si="25"/>
        <v>0</v>
      </c>
      <c r="AL195" s="1">
        <f t="shared" si="34"/>
        <v>0</v>
      </c>
      <c r="AM195" s="1">
        <f t="shared" si="30"/>
        <v>0</v>
      </c>
      <c r="AO195" s="45">
        <f t="shared" si="31"/>
        <v>0</v>
      </c>
      <c r="AP195" s="45">
        <f t="shared" si="32"/>
        <v>0</v>
      </c>
      <c r="AQ195" s="45">
        <f t="shared" si="33"/>
        <v>0</v>
      </c>
    </row>
    <row r="196" spans="1:43" ht="15" thickTop="1" thickBot="1" x14ac:dyDescent="0.5">
      <c r="A196" s="68" t="str">
        <f>IF(ISTEXT('Data Sheet'!B196),'Data Sheet'!B196&amp;" "&amp;'Data Sheet'!A196,"")</f>
        <v/>
      </c>
      <c r="B196" s="70">
        <f>'Data Sheet'!C196</f>
        <v>194</v>
      </c>
      <c r="C196" s="38"/>
      <c r="D196" s="44">
        <f>'Data Sheet'!E196</f>
        <v>0</v>
      </c>
      <c r="E196" s="44">
        <f>'Data Sheet'!F196</f>
        <v>0</v>
      </c>
      <c r="F196" s="44">
        <f>'Data Sheet'!G196</f>
        <v>0</v>
      </c>
      <c r="G196" s="44">
        <f>'Data Sheet'!H196</f>
        <v>0</v>
      </c>
      <c r="H196" s="44">
        <f>'Data Sheet'!I196</f>
        <v>0</v>
      </c>
      <c r="I196" s="44">
        <f>'Data Sheet'!J196</f>
        <v>0</v>
      </c>
      <c r="J196" s="44">
        <f>'Data Sheet'!K196</f>
        <v>0</v>
      </c>
      <c r="K196" s="44">
        <f>'Data Sheet'!L196</f>
        <v>0</v>
      </c>
      <c r="L196" s="44">
        <f>'Data Sheet'!M196</f>
        <v>0</v>
      </c>
      <c r="M196" s="5"/>
      <c r="N196" s="44">
        <f>'Data Sheet'!O196</f>
        <v>0</v>
      </c>
      <c r="O196" s="44">
        <f>'Data Sheet'!P196</f>
        <v>0</v>
      </c>
      <c r="P196" s="44">
        <f>'Data Sheet'!Q196</f>
        <v>0</v>
      </c>
      <c r="Q196" s="44">
        <f>'Data Sheet'!R196</f>
        <v>0</v>
      </c>
      <c r="R196" s="44">
        <f>'Data Sheet'!S196</f>
        <v>0</v>
      </c>
      <c r="S196" s="44">
        <f>'Data Sheet'!T196</f>
        <v>0</v>
      </c>
      <c r="T196" s="44">
        <f>'Data Sheet'!U196</f>
        <v>0</v>
      </c>
      <c r="U196" s="44">
        <f>'Data Sheet'!V196</f>
        <v>0</v>
      </c>
      <c r="V196" s="5"/>
      <c r="W196" s="16" t="str">
        <f t="shared" ref="W196:W223" si="35">IF(I196=1,"IEP",IF(J196=1,"GIEP",""))</f>
        <v/>
      </c>
      <c r="X196" s="10">
        <v>0</v>
      </c>
      <c r="Y196" s="11">
        <v>0</v>
      </c>
      <c r="Z196" s="11">
        <v>0</v>
      </c>
      <c r="AA196" s="11">
        <v>0</v>
      </c>
      <c r="AB196" s="11">
        <v>0</v>
      </c>
      <c r="AC196" s="11">
        <v>0</v>
      </c>
      <c r="AD196" s="11">
        <v>0</v>
      </c>
      <c r="AE196" s="12">
        <v>0</v>
      </c>
      <c r="AG196" s="45">
        <f t="shared" si="26"/>
        <v>0</v>
      </c>
      <c r="AH196" s="45">
        <f t="shared" ref="AH196:AH208" si="36">IF(A196="",0,1)</f>
        <v>0</v>
      </c>
      <c r="AI196" s="45">
        <f t="shared" si="27"/>
        <v>0</v>
      </c>
      <c r="AJ196" s="45">
        <f t="shared" si="28"/>
        <v>0</v>
      </c>
      <c r="AK196" s="45">
        <f t="shared" ref="AK196:AK223" si="37">SUMPRODUCT(X196:AE196,N196:U196)</f>
        <v>0</v>
      </c>
      <c r="AL196" s="1">
        <f t="shared" si="34"/>
        <v>0</v>
      </c>
      <c r="AM196" s="1">
        <f t="shared" si="30"/>
        <v>0</v>
      </c>
      <c r="AO196" s="45">
        <f t="shared" si="31"/>
        <v>0</v>
      </c>
      <c r="AP196" s="45">
        <f t="shared" si="32"/>
        <v>0</v>
      </c>
      <c r="AQ196" s="45">
        <f t="shared" si="33"/>
        <v>0</v>
      </c>
    </row>
    <row r="197" spans="1:43" ht="15" thickTop="1" thickBot="1" x14ac:dyDescent="0.5">
      <c r="A197" s="68" t="str">
        <f>IF(ISTEXT('Data Sheet'!B197),'Data Sheet'!B197&amp;" "&amp;'Data Sheet'!A197,"")</f>
        <v/>
      </c>
      <c r="B197" s="70">
        <f>'Data Sheet'!C197</f>
        <v>195</v>
      </c>
      <c r="C197" s="38"/>
      <c r="D197" s="44">
        <f>'Data Sheet'!E197</f>
        <v>0</v>
      </c>
      <c r="E197" s="44">
        <f>'Data Sheet'!F197</f>
        <v>0</v>
      </c>
      <c r="F197" s="44">
        <f>'Data Sheet'!G197</f>
        <v>0</v>
      </c>
      <c r="G197" s="44">
        <f>'Data Sheet'!H197</f>
        <v>0</v>
      </c>
      <c r="H197" s="44">
        <f>'Data Sheet'!I197</f>
        <v>0</v>
      </c>
      <c r="I197" s="44">
        <f>'Data Sheet'!J197</f>
        <v>0</v>
      </c>
      <c r="J197" s="44">
        <f>'Data Sheet'!K197</f>
        <v>0</v>
      </c>
      <c r="K197" s="44">
        <f>'Data Sheet'!L197</f>
        <v>0</v>
      </c>
      <c r="L197" s="44">
        <f>'Data Sheet'!M197</f>
        <v>0</v>
      </c>
      <c r="M197" s="5"/>
      <c r="N197" s="44">
        <f>'Data Sheet'!O197</f>
        <v>0</v>
      </c>
      <c r="O197" s="44">
        <f>'Data Sheet'!P197</f>
        <v>0</v>
      </c>
      <c r="P197" s="44">
        <f>'Data Sheet'!Q197</f>
        <v>0</v>
      </c>
      <c r="Q197" s="44">
        <f>'Data Sheet'!R197</f>
        <v>0</v>
      </c>
      <c r="R197" s="44">
        <f>'Data Sheet'!S197</f>
        <v>0</v>
      </c>
      <c r="S197" s="44">
        <f>'Data Sheet'!T197</f>
        <v>0</v>
      </c>
      <c r="T197" s="44">
        <f>'Data Sheet'!U197</f>
        <v>0</v>
      </c>
      <c r="U197" s="44">
        <f>'Data Sheet'!V197</f>
        <v>0</v>
      </c>
      <c r="V197" s="5"/>
      <c r="W197" s="16" t="str">
        <f t="shared" si="35"/>
        <v/>
      </c>
      <c r="X197" s="10">
        <v>0</v>
      </c>
      <c r="Y197" s="11">
        <v>0</v>
      </c>
      <c r="Z197" s="11">
        <v>0</v>
      </c>
      <c r="AA197" s="11">
        <v>0</v>
      </c>
      <c r="AB197" s="11">
        <v>0</v>
      </c>
      <c r="AC197" s="11">
        <v>0</v>
      </c>
      <c r="AD197" s="11">
        <v>0</v>
      </c>
      <c r="AE197" s="12">
        <v>0</v>
      </c>
      <c r="AG197" s="45">
        <f t="shared" ref="AG197:AG223" si="38">SUM(X197:AE197)</f>
        <v>0</v>
      </c>
      <c r="AH197" s="45">
        <f t="shared" si="36"/>
        <v>0</v>
      </c>
      <c r="AI197" s="45">
        <f t="shared" ref="AI197:AI223" si="39">SUMIF($X$3:$AE$3,W197,X197:AE197)</f>
        <v>0</v>
      </c>
      <c r="AJ197" s="45">
        <f t="shared" ref="AJ197:AJ223" si="40">IF(OR(W197="IEP",W197="GIEP"),1,0)</f>
        <v>0</v>
      </c>
      <c r="AK197" s="45">
        <f t="shared" si="37"/>
        <v>0</v>
      </c>
      <c r="AL197" s="1">
        <f t="shared" si="34"/>
        <v>0</v>
      </c>
      <c r="AM197" s="1">
        <f t="shared" ref="AM197:AM223" si="41">IF(AL197&gt;AK197,1,0)</f>
        <v>0</v>
      </c>
      <c r="AO197" s="45">
        <f t="shared" ref="AO197:AO223" si="42">SUMIF(N197:U197,1,X197:AE197)</f>
        <v>0</v>
      </c>
      <c r="AP197" s="45">
        <f t="shared" ref="AP197:AP223" si="43">IF(SUMIF(N197:U197,1)&gt;0,1,0)</f>
        <v>0</v>
      </c>
      <c r="AQ197" s="45">
        <f t="shared" ref="AQ197:AQ223" si="44">SUMIF(N197:U197,-1,X197:AE197)</f>
        <v>0</v>
      </c>
    </row>
    <row r="198" spans="1:43" ht="15" thickTop="1" thickBot="1" x14ac:dyDescent="0.5">
      <c r="A198" s="68" t="str">
        <f>IF(ISTEXT('Data Sheet'!B198),'Data Sheet'!B198&amp;" "&amp;'Data Sheet'!A198,"")</f>
        <v/>
      </c>
      <c r="B198" s="70">
        <f>'Data Sheet'!C198</f>
        <v>196</v>
      </c>
      <c r="C198" s="38"/>
      <c r="D198" s="44">
        <f>'Data Sheet'!E198</f>
        <v>0</v>
      </c>
      <c r="E198" s="44">
        <f>'Data Sheet'!F198</f>
        <v>0</v>
      </c>
      <c r="F198" s="44">
        <f>'Data Sheet'!G198</f>
        <v>0</v>
      </c>
      <c r="G198" s="44">
        <f>'Data Sheet'!H198</f>
        <v>0</v>
      </c>
      <c r="H198" s="44">
        <f>'Data Sheet'!I198</f>
        <v>0</v>
      </c>
      <c r="I198" s="44">
        <f>'Data Sheet'!J198</f>
        <v>0</v>
      </c>
      <c r="J198" s="44">
        <f>'Data Sheet'!K198</f>
        <v>0</v>
      </c>
      <c r="K198" s="44">
        <f>'Data Sheet'!L198</f>
        <v>0</v>
      </c>
      <c r="L198" s="44">
        <f>'Data Sheet'!M198</f>
        <v>0</v>
      </c>
      <c r="M198" s="5"/>
      <c r="N198" s="44">
        <f>'Data Sheet'!O198</f>
        <v>0</v>
      </c>
      <c r="O198" s="44">
        <f>'Data Sheet'!P198</f>
        <v>0</v>
      </c>
      <c r="P198" s="44">
        <f>'Data Sheet'!Q198</f>
        <v>0</v>
      </c>
      <c r="Q198" s="44">
        <f>'Data Sheet'!R198</f>
        <v>0</v>
      </c>
      <c r="R198" s="44">
        <f>'Data Sheet'!S198</f>
        <v>0</v>
      </c>
      <c r="S198" s="44">
        <f>'Data Sheet'!T198</f>
        <v>0</v>
      </c>
      <c r="T198" s="44">
        <f>'Data Sheet'!U198</f>
        <v>0</v>
      </c>
      <c r="U198" s="44">
        <f>'Data Sheet'!V198</f>
        <v>0</v>
      </c>
      <c r="V198" s="5"/>
      <c r="W198" s="16" t="str">
        <f t="shared" si="35"/>
        <v/>
      </c>
      <c r="X198" s="10">
        <v>0</v>
      </c>
      <c r="Y198" s="11">
        <v>0</v>
      </c>
      <c r="Z198" s="11">
        <v>0</v>
      </c>
      <c r="AA198" s="11">
        <v>0</v>
      </c>
      <c r="AB198" s="11">
        <v>0</v>
      </c>
      <c r="AC198" s="11">
        <v>0</v>
      </c>
      <c r="AD198" s="11">
        <v>0</v>
      </c>
      <c r="AE198" s="12">
        <v>0</v>
      </c>
      <c r="AG198" s="45">
        <f t="shared" si="38"/>
        <v>0</v>
      </c>
      <c r="AH198" s="45">
        <f t="shared" si="36"/>
        <v>0</v>
      </c>
      <c r="AI198" s="45">
        <f t="shared" si="39"/>
        <v>0</v>
      </c>
      <c r="AJ198" s="45">
        <f t="shared" si="40"/>
        <v>0</v>
      </c>
      <c r="AK198" s="45">
        <f t="shared" si="37"/>
        <v>0</v>
      </c>
      <c r="AL198" s="1">
        <f t="shared" si="34"/>
        <v>0</v>
      </c>
      <c r="AM198" s="1">
        <f t="shared" si="41"/>
        <v>0</v>
      </c>
      <c r="AO198" s="45">
        <f t="shared" si="42"/>
        <v>0</v>
      </c>
      <c r="AP198" s="45">
        <f t="shared" si="43"/>
        <v>0</v>
      </c>
      <c r="AQ198" s="45">
        <f t="shared" si="44"/>
        <v>0</v>
      </c>
    </row>
    <row r="199" spans="1:43" ht="15" thickTop="1" thickBot="1" x14ac:dyDescent="0.5">
      <c r="A199" s="68" t="str">
        <f>IF(ISTEXT('Data Sheet'!B199),'Data Sheet'!B199&amp;" "&amp;'Data Sheet'!A199,"")</f>
        <v/>
      </c>
      <c r="B199" s="70">
        <f>'Data Sheet'!C199</f>
        <v>197</v>
      </c>
      <c r="C199" s="38"/>
      <c r="D199" s="44">
        <f>'Data Sheet'!E199</f>
        <v>0</v>
      </c>
      <c r="E199" s="44">
        <f>'Data Sheet'!F199</f>
        <v>0</v>
      </c>
      <c r="F199" s="44">
        <f>'Data Sheet'!G199</f>
        <v>0</v>
      </c>
      <c r="G199" s="44">
        <f>'Data Sheet'!H199</f>
        <v>0</v>
      </c>
      <c r="H199" s="44">
        <f>'Data Sheet'!I199</f>
        <v>0</v>
      </c>
      <c r="I199" s="44">
        <f>'Data Sheet'!J199</f>
        <v>0</v>
      </c>
      <c r="J199" s="44">
        <f>'Data Sheet'!K199</f>
        <v>0</v>
      </c>
      <c r="K199" s="44">
        <f>'Data Sheet'!L199</f>
        <v>0</v>
      </c>
      <c r="L199" s="44">
        <f>'Data Sheet'!M199</f>
        <v>0</v>
      </c>
      <c r="M199" s="5"/>
      <c r="N199" s="44">
        <f>'Data Sheet'!O199</f>
        <v>0</v>
      </c>
      <c r="O199" s="44">
        <f>'Data Sheet'!P199</f>
        <v>0</v>
      </c>
      <c r="P199" s="44">
        <f>'Data Sheet'!Q199</f>
        <v>0</v>
      </c>
      <c r="Q199" s="44">
        <f>'Data Sheet'!R199</f>
        <v>0</v>
      </c>
      <c r="R199" s="44">
        <f>'Data Sheet'!S199</f>
        <v>0</v>
      </c>
      <c r="S199" s="44">
        <f>'Data Sheet'!T199</f>
        <v>0</v>
      </c>
      <c r="T199" s="44">
        <f>'Data Sheet'!U199</f>
        <v>0</v>
      </c>
      <c r="U199" s="44">
        <f>'Data Sheet'!V199</f>
        <v>0</v>
      </c>
      <c r="V199" s="5"/>
      <c r="W199" s="16" t="str">
        <f t="shared" si="35"/>
        <v/>
      </c>
      <c r="X199" s="10">
        <v>0</v>
      </c>
      <c r="Y199" s="11">
        <v>0</v>
      </c>
      <c r="Z199" s="11">
        <v>0</v>
      </c>
      <c r="AA199" s="11">
        <v>0</v>
      </c>
      <c r="AB199" s="11">
        <v>0</v>
      </c>
      <c r="AC199" s="11">
        <v>0</v>
      </c>
      <c r="AD199" s="11">
        <v>0</v>
      </c>
      <c r="AE199" s="12">
        <v>0</v>
      </c>
      <c r="AG199" s="45">
        <f t="shared" si="38"/>
        <v>0</v>
      </c>
      <c r="AH199" s="45">
        <f t="shared" si="36"/>
        <v>0</v>
      </c>
      <c r="AI199" s="45">
        <f t="shared" si="39"/>
        <v>0</v>
      </c>
      <c r="AJ199" s="45">
        <f t="shared" si="40"/>
        <v>0</v>
      </c>
      <c r="AK199" s="45">
        <f t="shared" si="37"/>
        <v>0</v>
      </c>
      <c r="AL199" s="1">
        <f t="shared" ref="AL199:AL223" si="45">MAX(N199:U199)</f>
        <v>0</v>
      </c>
      <c r="AM199" s="1">
        <f t="shared" si="41"/>
        <v>0</v>
      </c>
      <c r="AO199" s="45">
        <f t="shared" si="42"/>
        <v>0</v>
      </c>
      <c r="AP199" s="45">
        <f t="shared" si="43"/>
        <v>0</v>
      </c>
      <c r="AQ199" s="45">
        <f t="shared" si="44"/>
        <v>0</v>
      </c>
    </row>
    <row r="200" spans="1:43" ht="15" thickTop="1" thickBot="1" x14ac:dyDescent="0.5">
      <c r="A200" s="68" t="str">
        <f>IF(ISTEXT('Data Sheet'!B200),'Data Sheet'!B200&amp;" "&amp;'Data Sheet'!A200,"")</f>
        <v/>
      </c>
      <c r="B200" s="70">
        <f>'Data Sheet'!C200</f>
        <v>198</v>
      </c>
      <c r="C200" s="38"/>
      <c r="D200" s="44">
        <f>'Data Sheet'!E200</f>
        <v>0</v>
      </c>
      <c r="E200" s="44">
        <f>'Data Sheet'!F200</f>
        <v>0</v>
      </c>
      <c r="F200" s="44">
        <f>'Data Sheet'!G200</f>
        <v>0</v>
      </c>
      <c r="G200" s="44">
        <f>'Data Sheet'!H200</f>
        <v>0</v>
      </c>
      <c r="H200" s="44">
        <f>'Data Sheet'!I200</f>
        <v>0</v>
      </c>
      <c r="I200" s="44">
        <f>'Data Sheet'!J200</f>
        <v>0</v>
      </c>
      <c r="J200" s="44">
        <f>'Data Sheet'!K200</f>
        <v>0</v>
      </c>
      <c r="K200" s="44">
        <f>'Data Sheet'!L200</f>
        <v>0</v>
      </c>
      <c r="L200" s="44">
        <f>'Data Sheet'!M200</f>
        <v>0</v>
      </c>
      <c r="M200" s="5"/>
      <c r="N200" s="44">
        <f>'Data Sheet'!O200</f>
        <v>0</v>
      </c>
      <c r="O200" s="44">
        <f>'Data Sheet'!P200</f>
        <v>0</v>
      </c>
      <c r="P200" s="44">
        <f>'Data Sheet'!Q200</f>
        <v>0</v>
      </c>
      <c r="Q200" s="44">
        <f>'Data Sheet'!R200</f>
        <v>0</v>
      </c>
      <c r="R200" s="44">
        <f>'Data Sheet'!S200</f>
        <v>0</v>
      </c>
      <c r="S200" s="44">
        <f>'Data Sheet'!T200</f>
        <v>0</v>
      </c>
      <c r="T200" s="44">
        <f>'Data Sheet'!U200</f>
        <v>0</v>
      </c>
      <c r="U200" s="44">
        <f>'Data Sheet'!V200</f>
        <v>0</v>
      </c>
      <c r="V200" s="5"/>
      <c r="W200" s="16" t="str">
        <f t="shared" si="35"/>
        <v/>
      </c>
      <c r="X200" s="10">
        <v>0</v>
      </c>
      <c r="Y200" s="11">
        <v>0</v>
      </c>
      <c r="Z200" s="11">
        <v>0</v>
      </c>
      <c r="AA200" s="11">
        <v>0</v>
      </c>
      <c r="AB200" s="11">
        <v>0</v>
      </c>
      <c r="AC200" s="11">
        <v>0</v>
      </c>
      <c r="AD200" s="11">
        <v>0</v>
      </c>
      <c r="AE200" s="12">
        <v>0</v>
      </c>
      <c r="AG200" s="45">
        <f t="shared" si="38"/>
        <v>0</v>
      </c>
      <c r="AH200" s="45">
        <f t="shared" si="36"/>
        <v>0</v>
      </c>
      <c r="AI200" s="45">
        <f t="shared" si="39"/>
        <v>0</v>
      </c>
      <c r="AJ200" s="45">
        <f t="shared" si="40"/>
        <v>0</v>
      </c>
      <c r="AK200" s="45">
        <f t="shared" si="37"/>
        <v>0</v>
      </c>
      <c r="AL200" s="1">
        <f t="shared" si="45"/>
        <v>0</v>
      </c>
      <c r="AM200" s="1">
        <f t="shared" si="41"/>
        <v>0</v>
      </c>
      <c r="AO200" s="45">
        <f t="shared" si="42"/>
        <v>0</v>
      </c>
      <c r="AP200" s="45">
        <f t="shared" si="43"/>
        <v>0</v>
      </c>
      <c r="AQ200" s="45">
        <f t="shared" si="44"/>
        <v>0</v>
      </c>
    </row>
    <row r="201" spans="1:43" ht="15" thickTop="1" thickBot="1" x14ac:dyDescent="0.5">
      <c r="A201" s="68" t="str">
        <f>IF(ISTEXT('Data Sheet'!B201),'Data Sheet'!B201&amp;" "&amp;'Data Sheet'!A201,"")</f>
        <v/>
      </c>
      <c r="B201" s="70">
        <f>'Data Sheet'!C201</f>
        <v>199</v>
      </c>
      <c r="C201" s="38"/>
      <c r="D201" s="44">
        <f>'Data Sheet'!E201</f>
        <v>0</v>
      </c>
      <c r="E201" s="44">
        <f>'Data Sheet'!F201</f>
        <v>0</v>
      </c>
      <c r="F201" s="44">
        <f>'Data Sheet'!G201</f>
        <v>0</v>
      </c>
      <c r="G201" s="44">
        <f>'Data Sheet'!H201</f>
        <v>0</v>
      </c>
      <c r="H201" s="44">
        <f>'Data Sheet'!I201</f>
        <v>0</v>
      </c>
      <c r="I201" s="44">
        <f>'Data Sheet'!J201</f>
        <v>0</v>
      </c>
      <c r="J201" s="44">
        <f>'Data Sheet'!K201</f>
        <v>0</v>
      </c>
      <c r="K201" s="44">
        <f>'Data Sheet'!L201</f>
        <v>0</v>
      </c>
      <c r="L201" s="44">
        <f>'Data Sheet'!M201</f>
        <v>0</v>
      </c>
      <c r="M201" s="5"/>
      <c r="N201" s="44">
        <f>'Data Sheet'!O201</f>
        <v>0</v>
      </c>
      <c r="O201" s="44">
        <f>'Data Sheet'!P201</f>
        <v>0</v>
      </c>
      <c r="P201" s="44">
        <f>'Data Sheet'!Q201</f>
        <v>0</v>
      </c>
      <c r="Q201" s="44">
        <f>'Data Sheet'!R201</f>
        <v>0</v>
      </c>
      <c r="R201" s="44">
        <f>'Data Sheet'!S201</f>
        <v>0</v>
      </c>
      <c r="S201" s="44">
        <f>'Data Sheet'!T201</f>
        <v>0</v>
      </c>
      <c r="T201" s="44">
        <f>'Data Sheet'!U201</f>
        <v>0</v>
      </c>
      <c r="U201" s="44">
        <f>'Data Sheet'!V201</f>
        <v>0</v>
      </c>
      <c r="V201" s="5"/>
      <c r="W201" s="16" t="str">
        <f t="shared" si="35"/>
        <v/>
      </c>
      <c r="X201" s="10">
        <v>0</v>
      </c>
      <c r="Y201" s="11">
        <v>0</v>
      </c>
      <c r="Z201" s="11">
        <v>0</v>
      </c>
      <c r="AA201" s="11">
        <v>0</v>
      </c>
      <c r="AB201" s="11">
        <v>0</v>
      </c>
      <c r="AC201" s="11">
        <v>0</v>
      </c>
      <c r="AD201" s="11">
        <v>0</v>
      </c>
      <c r="AE201" s="12">
        <v>0</v>
      </c>
      <c r="AG201" s="45">
        <f t="shared" si="38"/>
        <v>0</v>
      </c>
      <c r="AH201" s="45">
        <f t="shared" si="36"/>
        <v>0</v>
      </c>
      <c r="AI201" s="45">
        <f t="shared" si="39"/>
        <v>0</v>
      </c>
      <c r="AJ201" s="45">
        <f t="shared" si="40"/>
        <v>0</v>
      </c>
      <c r="AK201" s="45">
        <f t="shared" si="37"/>
        <v>0</v>
      </c>
      <c r="AL201" s="1">
        <f t="shared" si="45"/>
        <v>0</v>
      </c>
      <c r="AM201" s="1">
        <f t="shared" si="41"/>
        <v>0</v>
      </c>
      <c r="AO201" s="45">
        <f t="shared" si="42"/>
        <v>0</v>
      </c>
      <c r="AP201" s="45">
        <f t="shared" si="43"/>
        <v>0</v>
      </c>
      <c r="AQ201" s="45">
        <f t="shared" si="44"/>
        <v>0</v>
      </c>
    </row>
    <row r="202" spans="1:43" ht="15" thickTop="1" thickBot="1" x14ac:dyDescent="0.5">
      <c r="A202" s="68" t="str">
        <f>IF(ISTEXT('Data Sheet'!B202),'Data Sheet'!B202&amp;" "&amp;'Data Sheet'!A202,"")</f>
        <v/>
      </c>
      <c r="B202" s="70">
        <f>'Data Sheet'!C202</f>
        <v>200</v>
      </c>
      <c r="C202" s="38"/>
      <c r="D202" s="44">
        <f>'Data Sheet'!E202</f>
        <v>0</v>
      </c>
      <c r="E202" s="44">
        <f>'Data Sheet'!F202</f>
        <v>0</v>
      </c>
      <c r="F202" s="44">
        <f>'Data Sheet'!G202</f>
        <v>0</v>
      </c>
      <c r="G202" s="44">
        <f>'Data Sheet'!H202</f>
        <v>0</v>
      </c>
      <c r="H202" s="44">
        <f>'Data Sheet'!I202</f>
        <v>0</v>
      </c>
      <c r="I202" s="44">
        <f>'Data Sheet'!J202</f>
        <v>0</v>
      </c>
      <c r="J202" s="44">
        <f>'Data Sheet'!K202</f>
        <v>0</v>
      </c>
      <c r="K202" s="44">
        <f>'Data Sheet'!L202</f>
        <v>0</v>
      </c>
      <c r="L202" s="44">
        <f>'Data Sheet'!M202</f>
        <v>0</v>
      </c>
      <c r="M202" s="5"/>
      <c r="N202" s="44">
        <f>'Data Sheet'!O202</f>
        <v>0</v>
      </c>
      <c r="O202" s="44">
        <f>'Data Sheet'!P202</f>
        <v>0</v>
      </c>
      <c r="P202" s="44">
        <f>'Data Sheet'!Q202</f>
        <v>0</v>
      </c>
      <c r="Q202" s="44">
        <f>'Data Sheet'!R202</f>
        <v>0</v>
      </c>
      <c r="R202" s="44">
        <f>'Data Sheet'!S202</f>
        <v>0</v>
      </c>
      <c r="S202" s="44">
        <f>'Data Sheet'!T202</f>
        <v>0</v>
      </c>
      <c r="T202" s="44">
        <f>'Data Sheet'!U202</f>
        <v>0</v>
      </c>
      <c r="U202" s="44">
        <f>'Data Sheet'!V202</f>
        <v>0</v>
      </c>
      <c r="V202" s="5"/>
      <c r="W202" s="16" t="str">
        <f t="shared" si="35"/>
        <v/>
      </c>
      <c r="X202" s="10">
        <v>0</v>
      </c>
      <c r="Y202" s="11">
        <v>0</v>
      </c>
      <c r="Z202" s="11">
        <v>0</v>
      </c>
      <c r="AA202" s="11">
        <v>0</v>
      </c>
      <c r="AB202" s="11">
        <v>0</v>
      </c>
      <c r="AC202" s="11">
        <v>0</v>
      </c>
      <c r="AD202" s="11">
        <v>0</v>
      </c>
      <c r="AE202" s="12">
        <v>0</v>
      </c>
      <c r="AG202" s="45">
        <f t="shared" si="38"/>
        <v>0</v>
      </c>
      <c r="AH202" s="45">
        <f t="shared" si="36"/>
        <v>0</v>
      </c>
      <c r="AI202" s="45">
        <f t="shared" si="39"/>
        <v>0</v>
      </c>
      <c r="AJ202" s="45">
        <f t="shared" si="40"/>
        <v>0</v>
      </c>
      <c r="AK202" s="45">
        <f t="shared" si="37"/>
        <v>0</v>
      </c>
      <c r="AL202" s="1">
        <f t="shared" si="45"/>
        <v>0</v>
      </c>
      <c r="AM202" s="1">
        <f t="shared" si="41"/>
        <v>0</v>
      </c>
      <c r="AO202" s="45">
        <f t="shared" si="42"/>
        <v>0</v>
      </c>
      <c r="AP202" s="45">
        <f t="shared" si="43"/>
        <v>0</v>
      </c>
      <c r="AQ202" s="45">
        <f t="shared" si="44"/>
        <v>0</v>
      </c>
    </row>
    <row r="203" spans="1:43" ht="15" thickTop="1" thickBot="1" x14ac:dyDescent="0.5">
      <c r="A203" s="68" t="str">
        <f>IF(ISTEXT('Data Sheet'!B203),'Data Sheet'!B203&amp;" "&amp;'Data Sheet'!A203,"")</f>
        <v/>
      </c>
      <c r="B203" s="70">
        <f>'Data Sheet'!C203</f>
        <v>200</v>
      </c>
      <c r="C203" s="38"/>
      <c r="D203" s="44">
        <f>'Data Sheet'!E203</f>
        <v>0</v>
      </c>
      <c r="E203" s="44">
        <f>'Data Sheet'!F203</f>
        <v>0</v>
      </c>
      <c r="F203" s="44">
        <f>'Data Sheet'!G203</f>
        <v>0</v>
      </c>
      <c r="G203" s="44">
        <f>'Data Sheet'!H203</f>
        <v>0</v>
      </c>
      <c r="H203" s="44">
        <f>'Data Sheet'!I203</f>
        <v>0</v>
      </c>
      <c r="I203" s="44">
        <f>'Data Sheet'!J203</f>
        <v>0</v>
      </c>
      <c r="J203" s="44">
        <f>'Data Sheet'!K203</f>
        <v>0</v>
      </c>
      <c r="K203" s="44">
        <f>'Data Sheet'!L203</f>
        <v>0</v>
      </c>
      <c r="L203" s="44">
        <f>'Data Sheet'!M203</f>
        <v>0</v>
      </c>
      <c r="M203" s="5"/>
      <c r="N203" s="44">
        <f>'Data Sheet'!O203</f>
        <v>0</v>
      </c>
      <c r="O203" s="44">
        <f>'Data Sheet'!P203</f>
        <v>0</v>
      </c>
      <c r="P203" s="44">
        <f>'Data Sheet'!Q203</f>
        <v>0</v>
      </c>
      <c r="Q203" s="44">
        <f>'Data Sheet'!R203</f>
        <v>0</v>
      </c>
      <c r="R203" s="44">
        <f>'Data Sheet'!S203</f>
        <v>0</v>
      </c>
      <c r="S203" s="44">
        <f>'Data Sheet'!T203</f>
        <v>0</v>
      </c>
      <c r="T203" s="44">
        <f>'Data Sheet'!U203</f>
        <v>0</v>
      </c>
      <c r="U203" s="44">
        <f>'Data Sheet'!V203</f>
        <v>0</v>
      </c>
      <c r="V203" s="5"/>
      <c r="W203" s="16" t="str">
        <f t="shared" si="35"/>
        <v/>
      </c>
      <c r="X203" s="10">
        <v>0</v>
      </c>
      <c r="Y203" s="11">
        <v>0</v>
      </c>
      <c r="Z203" s="11">
        <v>0</v>
      </c>
      <c r="AA203" s="11">
        <v>0</v>
      </c>
      <c r="AB203" s="11">
        <v>0</v>
      </c>
      <c r="AC203" s="11">
        <v>0</v>
      </c>
      <c r="AD203" s="11">
        <v>0</v>
      </c>
      <c r="AE203" s="12">
        <v>0</v>
      </c>
      <c r="AG203" s="45">
        <f t="shared" si="38"/>
        <v>0</v>
      </c>
      <c r="AH203" s="45">
        <f t="shared" si="36"/>
        <v>0</v>
      </c>
      <c r="AI203" s="45">
        <f t="shared" si="39"/>
        <v>0</v>
      </c>
      <c r="AJ203" s="45">
        <f t="shared" si="40"/>
        <v>0</v>
      </c>
      <c r="AK203" s="45">
        <f t="shared" si="37"/>
        <v>0</v>
      </c>
      <c r="AL203" s="1">
        <f t="shared" si="45"/>
        <v>0</v>
      </c>
      <c r="AM203" s="1">
        <f t="shared" si="41"/>
        <v>0</v>
      </c>
      <c r="AO203" s="45">
        <f t="shared" si="42"/>
        <v>0</v>
      </c>
      <c r="AP203" s="45">
        <f t="shared" si="43"/>
        <v>0</v>
      </c>
      <c r="AQ203" s="45">
        <f t="shared" si="44"/>
        <v>0</v>
      </c>
    </row>
    <row r="204" spans="1:43" ht="15" thickTop="1" thickBot="1" x14ac:dyDescent="0.5">
      <c r="A204" s="68" t="str">
        <f>IF(ISTEXT('Data Sheet'!B204),'Data Sheet'!B204&amp;" "&amp;'Data Sheet'!A204,"")</f>
        <v/>
      </c>
      <c r="B204" s="70">
        <f>'Data Sheet'!C204</f>
        <v>201</v>
      </c>
      <c r="C204" s="38"/>
      <c r="D204" s="44">
        <f>'Data Sheet'!E204</f>
        <v>0</v>
      </c>
      <c r="E204" s="44">
        <f>'Data Sheet'!F204</f>
        <v>0</v>
      </c>
      <c r="F204" s="44">
        <f>'Data Sheet'!G204</f>
        <v>0</v>
      </c>
      <c r="G204" s="44">
        <f>'Data Sheet'!H204</f>
        <v>0</v>
      </c>
      <c r="H204" s="44">
        <f>'Data Sheet'!I204</f>
        <v>0</v>
      </c>
      <c r="I204" s="44">
        <f>'Data Sheet'!J204</f>
        <v>0</v>
      </c>
      <c r="J204" s="44">
        <f>'Data Sheet'!K204</f>
        <v>0</v>
      </c>
      <c r="K204" s="44">
        <f>'Data Sheet'!L204</f>
        <v>0</v>
      </c>
      <c r="L204" s="44">
        <f>'Data Sheet'!M204</f>
        <v>0</v>
      </c>
      <c r="M204" s="5"/>
      <c r="N204" s="44">
        <f>'Data Sheet'!O204</f>
        <v>0</v>
      </c>
      <c r="O204" s="44">
        <f>'Data Sheet'!P204</f>
        <v>0</v>
      </c>
      <c r="P204" s="44">
        <f>'Data Sheet'!Q204</f>
        <v>0</v>
      </c>
      <c r="Q204" s="44">
        <f>'Data Sheet'!R204</f>
        <v>0</v>
      </c>
      <c r="R204" s="44">
        <f>'Data Sheet'!S204</f>
        <v>0</v>
      </c>
      <c r="S204" s="44">
        <f>'Data Sheet'!T204</f>
        <v>0</v>
      </c>
      <c r="T204" s="44">
        <f>'Data Sheet'!U204</f>
        <v>0</v>
      </c>
      <c r="U204" s="44">
        <f>'Data Sheet'!V204</f>
        <v>0</v>
      </c>
      <c r="V204" s="5"/>
      <c r="W204" s="16" t="str">
        <f t="shared" si="35"/>
        <v/>
      </c>
      <c r="X204" s="10">
        <v>0</v>
      </c>
      <c r="Y204" s="11">
        <v>0</v>
      </c>
      <c r="Z204" s="11">
        <v>0</v>
      </c>
      <c r="AA204" s="11">
        <v>0</v>
      </c>
      <c r="AB204" s="11">
        <v>0</v>
      </c>
      <c r="AC204" s="11">
        <v>0</v>
      </c>
      <c r="AD204" s="11">
        <v>0</v>
      </c>
      <c r="AE204" s="12">
        <v>0</v>
      </c>
      <c r="AG204" s="45">
        <f t="shared" si="38"/>
        <v>0</v>
      </c>
      <c r="AH204" s="45">
        <f t="shared" si="36"/>
        <v>0</v>
      </c>
      <c r="AI204" s="45">
        <f t="shared" si="39"/>
        <v>0</v>
      </c>
      <c r="AJ204" s="45">
        <f t="shared" si="40"/>
        <v>0</v>
      </c>
      <c r="AK204" s="45">
        <f t="shared" si="37"/>
        <v>0</v>
      </c>
      <c r="AL204" s="1">
        <f t="shared" si="45"/>
        <v>0</v>
      </c>
      <c r="AM204" s="1">
        <f t="shared" si="41"/>
        <v>0</v>
      </c>
      <c r="AO204" s="45">
        <f t="shared" si="42"/>
        <v>0</v>
      </c>
      <c r="AP204" s="45">
        <f t="shared" si="43"/>
        <v>0</v>
      </c>
      <c r="AQ204" s="45">
        <f t="shared" si="44"/>
        <v>0</v>
      </c>
    </row>
    <row r="205" spans="1:43" ht="15" thickTop="1" thickBot="1" x14ac:dyDescent="0.5">
      <c r="A205" s="68" t="str">
        <f>IF(ISTEXT('Data Sheet'!B205),'Data Sheet'!B205&amp;" "&amp;'Data Sheet'!A205,"")</f>
        <v/>
      </c>
      <c r="B205" s="70">
        <f>'Data Sheet'!C205</f>
        <v>202</v>
      </c>
      <c r="C205" s="38"/>
      <c r="D205" s="44">
        <f>'Data Sheet'!E205</f>
        <v>0</v>
      </c>
      <c r="E205" s="44">
        <f>'Data Sheet'!F205</f>
        <v>0</v>
      </c>
      <c r="F205" s="44">
        <f>'Data Sheet'!G205</f>
        <v>0</v>
      </c>
      <c r="G205" s="44">
        <f>'Data Sheet'!H205</f>
        <v>0</v>
      </c>
      <c r="H205" s="44">
        <f>'Data Sheet'!I205</f>
        <v>0</v>
      </c>
      <c r="I205" s="44">
        <f>'Data Sheet'!J205</f>
        <v>0</v>
      </c>
      <c r="J205" s="44">
        <f>'Data Sheet'!K205</f>
        <v>0</v>
      </c>
      <c r="K205" s="44">
        <f>'Data Sheet'!L205</f>
        <v>0</v>
      </c>
      <c r="L205" s="44">
        <f>'Data Sheet'!M205</f>
        <v>0</v>
      </c>
      <c r="M205" s="5"/>
      <c r="N205" s="44">
        <f>'Data Sheet'!O205</f>
        <v>0</v>
      </c>
      <c r="O205" s="44">
        <f>'Data Sheet'!P205</f>
        <v>0</v>
      </c>
      <c r="P205" s="44">
        <f>'Data Sheet'!Q205</f>
        <v>0</v>
      </c>
      <c r="Q205" s="44">
        <f>'Data Sheet'!R205</f>
        <v>0</v>
      </c>
      <c r="R205" s="44">
        <f>'Data Sheet'!S205</f>
        <v>0</v>
      </c>
      <c r="S205" s="44">
        <f>'Data Sheet'!T205</f>
        <v>0</v>
      </c>
      <c r="T205" s="44">
        <f>'Data Sheet'!U205</f>
        <v>0</v>
      </c>
      <c r="U205" s="44">
        <f>'Data Sheet'!V205</f>
        <v>0</v>
      </c>
      <c r="V205" s="5"/>
      <c r="W205" s="16" t="str">
        <f t="shared" si="35"/>
        <v/>
      </c>
      <c r="X205" s="10">
        <v>0</v>
      </c>
      <c r="Y205" s="11">
        <v>0</v>
      </c>
      <c r="Z205" s="11">
        <v>0</v>
      </c>
      <c r="AA205" s="11">
        <v>0</v>
      </c>
      <c r="AB205" s="11">
        <v>0</v>
      </c>
      <c r="AC205" s="11">
        <v>0</v>
      </c>
      <c r="AD205" s="11">
        <v>0</v>
      </c>
      <c r="AE205" s="12">
        <v>0</v>
      </c>
      <c r="AG205" s="45">
        <f t="shared" si="38"/>
        <v>0</v>
      </c>
      <c r="AH205" s="45">
        <f t="shared" si="36"/>
        <v>0</v>
      </c>
      <c r="AI205" s="45">
        <f t="shared" si="39"/>
        <v>0</v>
      </c>
      <c r="AJ205" s="45">
        <f t="shared" si="40"/>
        <v>0</v>
      </c>
      <c r="AK205" s="45">
        <f t="shared" si="37"/>
        <v>0</v>
      </c>
      <c r="AL205" s="1">
        <f t="shared" si="45"/>
        <v>0</v>
      </c>
      <c r="AM205" s="1">
        <f t="shared" si="41"/>
        <v>0</v>
      </c>
      <c r="AO205" s="45">
        <f t="shared" si="42"/>
        <v>0</v>
      </c>
      <c r="AP205" s="45">
        <f t="shared" si="43"/>
        <v>0</v>
      </c>
      <c r="AQ205" s="45">
        <f t="shared" si="44"/>
        <v>0</v>
      </c>
    </row>
    <row r="206" spans="1:43" ht="15" thickTop="1" thickBot="1" x14ac:dyDescent="0.5">
      <c r="A206" s="68" t="str">
        <f>IF(ISTEXT('Data Sheet'!B206),'Data Sheet'!B206&amp;" "&amp;'Data Sheet'!A206,"")</f>
        <v/>
      </c>
      <c r="B206" s="70">
        <f>'Data Sheet'!C206</f>
        <v>203</v>
      </c>
      <c r="C206" s="38"/>
      <c r="D206" s="44">
        <f>'Data Sheet'!E206</f>
        <v>0</v>
      </c>
      <c r="E206" s="44">
        <f>'Data Sheet'!F206</f>
        <v>0</v>
      </c>
      <c r="F206" s="44">
        <f>'Data Sheet'!G206</f>
        <v>0</v>
      </c>
      <c r="G206" s="44">
        <f>'Data Sheet'!H206</f>
        <v>0</v>
      </c>
      <c r="H206" s="44">
        <f>'Data Sheet'!I206</f>
        <v>0</v>
      </c>
      <c r="I206" s="44">
        <f>'Data Sheet'!J206</f>
        <v>0</v>
      </c>
      <c r="J206" s="44">
        <f>'Data Sheet'!K206</f>
        <v>0</v>
      </c>
      <c r="K206" s="44">
        <f>'Data Sheet'!L206</f>
        <v>0</v>
      </c>
      <c r="L206" s="44">
        <f>'Data Sheet'!M206</f>
        <v>0</v>
      </c>
      <c r="M206" s="5"/>
      <c r="N206" s="44">
        <f>'Data Sheet'!O206</f>
        <v>0</v>
      </c>
      <c r="O206" s="44">
        <f>'Data Sheet'!P206</f>
        <v>0</v>
      </c>
      <c r="P206" s="44">
        <f>'Data Sheet'!Q206</f>
        <v>0</v>
      </c>
      <c r="Q206" s="44">
        <f>'Data Sheet'!R206</f>
        <v>0</v>
      </c>
      <c r="R206" s="44">
        <f>'Data Sheet'!S206</f>
        <v>0</v>
      </c>
      <c r="S206" s="44">
        <f>'Data Sheet'!T206</f>
        <v>0</v>
      </c>
      <c r="T206" s="44">
        <f>'Data Sheet'!U206</f>
        <v>0</v>
      </c>
      <c r="U206" s="44">
        <f>'Data Sheet'!V206</f>
        <v>0</v>
      </c>
      <c r="V206" s="5"/>
      <c r="W206" s="16" t="str">
        <f t="shared" si="35"/>
        <v/>
      </c>
      <c r="X206" s="10">
        <v>0</v>
      </c>
      <c r="Y206" s="11">
        <v>0</v>
      </c>
      <c r="Z206" s="11">
        <v>0</v>
      </c>
      <c r="AA206" s="11">
        <v>0</v>
      </c>
      <c r="AB206" s="11">
        <v>0</v>
      </c>
      <c r="AC206" s="11">
        <v>0</v>
      </c>
      <c r="AD206" s="11">
        <v>0</v>
      </c>
      <c r="AE206" s="12">
        <v>0</v>
      </c>
      <c r="AG206" s="45">
        <f t="shared" si="38"/>
        <v>0</v>
      </c>
      <c r="AH206" s="45">
        <f t="shared" si="36"/>
        <v>0</v>
      </c>
      <c r="AI206" s="45">
        <f t="shared" si="39"/>
        <v>0</v>
      </c>
      <c r="AJ206" s="45">
        <f t="shared" si="40"/>
        <v>0</v>
      </c>
      <c r="AK206" s="45">
        <f t="shared" si="37"/>
        <v>0</v>
      </c>
      <c r="AL206" s="1">
        <f t="shared" si="45"/>
        <v>0</v>
      </c>
      <c r="AM206" s="1">
        <f t="shared" si="41"/>
        <v>0</v>
      </c>
      <c r="AO206" s="45">
        <f t="shared" si="42"/>
        <v>0</v>
      </c>
      <c r="AP206" s="45">
        <f t="shared" si="43"/>
        <v>0</v>
      </c>
      <c r="AQ206" s="45">
        <f t="shared" si="44"/>
        <v>0</v>
      </c>
    </row>
    <row r="207" spans="1:43" ht="15" thickTop="1" thickBot="1" x14ac:dyDescent="0.5">
      <c r="A207" s="68" t="str">
        <f>IF(ISTEXT('Data Sheet'!B207),'Data Sheet'!B207&amp;" "&amp;'Data Sheet'!A207,"")</f>
        <v/>
      </c>
      <c r="B207" s="70">
        <f>'Data Sheet'!C207</f>
        <v>204</v>
      </c>
      <c r="C207" s="38"/>
      <c r="D207" s="44">
        <f>'Data Sheet'!E207</f>
        <v>0</v>
      </c>
      <c r="E207" s="44">
        <f>'Data Sheet'!F207</f>
        <v>0</v>
      </c>
      <c r="F207" s="44">
        <f>'Data Sheet'!G207</f>
        <v>0</v>
      </c>
      <c r="G207" s="44">
        <f>'Data Sheet'!H207</f>
        <v>0</v>
      </c>
      <c r="H207" s="44">
        <f>'Data Sheet'!I207</f>
        <v>0</v>
      </c>
      <c r="I207" s="44">
        <f>'Data Sheet'!J207</f>
        <v>0</v>
      </c>
      <c r="J207" s="44">
        <f>'Data Sheet'!K207</f>
        <v>0</v>
      </c>
      <c r="K207" s="44">
        <f>'Data Sheet'!L207</f>
        <v>0</v>
      </c>
      <c r="L207" s="44">
        <f>'Data Sheet'!M207</f>
        <v>0</v>
      </c>
      <c r="M207" s="5"/>
      <c r="N207" s="44">
        <f>'Data Sheet'!O207</f>
        <v>0</v>
      </c>
      <c r="O207" s="44">
        <f>'Data Sheet'!P207</f>
        <v>0</v>
      </c>
      <c r="P207" s="44">
        <f>'Data Sheet'!Q207</f>
        <v>0</v>
      </c>
      <c r="Q207" s="44">
        <f>'Data Sheet'!R207</f>
        <v>0</v>
      </c>
      <c r="R207" s="44">
        <f>'Data Sheet'!S207</f>
        <v>0</v>
      </c>
      <c r="S207" s="44">
        <f>'Data Sheet'!T207</f>
        <v>0</v>
      </c>
      <c r="T207" s="44">
        <f>'Data Sheet'!U207</f>
        <v>0</v>
      </c>
      <c r="U207" s="44">
        <f>'Data Sheet'!V207</f>
        <v>0</v>
      </c>
      <c r="V207" s="5"/>
      <c r="W207" s="16" t="str">
        <f t="shared" si="35"/>
        <v/>
      </c>
      <c r="X207" s="10">
        <v>0</v>
      </c>
      <c r="Y207" s="11">
        <v>0</v>
      </c>
      <c r="Z207" s="11">
        <v>0</v>
      </c>
      <c r="AA207" s="11">
        <v>0</v>
      </c>
      <c r="AB207" s="11">
        <v>0</v>
      </c>
      <c r="AC207" s="11">
        <v>0</v>
      </c>
      <c r="AD207" s="11">
        <v>0</v>
      </c>
      <c r="AE207" s="12">
        <v>0</v>
      </c>
      <c r="AG207" s="45">
        <f t="shared" si="38"/>
        <v>0</v>
      </c>
      <c r="AH207" s="45">
        <f t="shared" si="36"/>
        <v>0</v>
      </c>
      <c r="AI207" s="45">
        <f t="shared" si="39"/>
        <v>0</v>
      </c>
      <c r="AJ207" s="45">
        <f t="shared" si="40"/>
        <v>0</v>
      </c>
      <c r="AK207" s="45">
        <f t="shared" si="37"/>
        <v>0</v>
      </c>
      <c r="AL207" s="1">
        <f t="shared" si="45"/>
        <v>0</v>
      </c>
      <c r="AM207" s="1">
        <f t="shared" si="41"/>
        <v>0</v>
      </c>
      <c r="AO207" s="45">
        <f t="shared" si="42"/>
        <v>0</v>
      </c>
      <c r="AP207" s="45">
        <f t="shared" si="43"/>
        <v>0</v>
      </c>
      <c r="AQ207" s="45">
        <f t="shared" si="44"/>
        <v>0</v>
      </c>
    </row>
    <row r="208" spans="1:43" ht="15" thickTop="1" thickBot="1" x14ac:dyDescent="0.5">
      <c r="A208" s="68" t="str">
        <f>IF(ISTEXT('Data Sheet'!B208),'Data Sheet'!B208&amp;" "&amp;'Data Sheet'!A208,"")</f>
        <v/>
      </c>
      <c r="B208" s="70">
        <f>'Data Sheet'!C208</f>
        <v>205</v>
      </c>
      <c r="C208" s="38"/>
      <c r="D208" s="44">
        <f>'Data Sheet'!E208</f>
        <v>0</v>
      </c>
      <c r="E208" s="44">
        <f>'Data Sheet'!F208</f>
        <v>0</v>
      </c>
      <c r="F208" s="44">
        <f>'Data Sheet'!G208</f>
        <v>0</v>
      </c>
      <c r="G208" s="44">
        <f>'Data Sheet'!H208</f>
        <v>0</v>
      </c>
      <c r="H208" s="44">
        <f>'Data Sheet'!I208</f>
        <v>0</v>
      </c>
      <c r="I208" s="44">
        <f>'Data Sheet'!J208</f>
        <v>0</v>
      </c>
      <c r="J208" s="44">
        <f>'Data Sheet'!K208</f>
        <v>0</v>
      </c>
      <c r="K208" s="44">
        <f>'Data Sheet'!L208</f>
        <v>0</v>
      </c>
      <c r="L208" s="44">
        <f>'Data Sheet'!M208</f>
        <v>0</v>
      </c>
      <c r="M208" s="5"/>
      <c r="N208" s="44">
        <f>'Data Sheet'!O208</f>
        <v>0</v>
      </c>
      <c r="O208" s="44">
        <f>'Data Sheet'!P208</f>
        <v>0</v>
      </c>
      <c r="P208" s="44">
        <f>'Data Sheet'!Q208</f>
        <v>0</v>
      </c>
      <c r="Q208" s="44">
        <f>'Data Sheet'!R208</f>
        <v>0</v>
      </c>
      <c r="R208" s="44">
        <f>'Data Sheet'!S208</f>
        <v>0</v>
      </c>
      <c r="S208" s="44">
        <f>'Data Sheet'!T208</f>
        <v>0</v>
      </c>
      <c r="T208" s="44">
        <f>'Data Sheet'!U208</f>
        <v>0</v>
      </c>
      <c r="U208" s="44">
        <f>'Data Sheet'!V208</f>
        <v>0</v>
      </c>
      <c r="V208" s="5"/>
      <c r="W208" s="16" t="str">
        <f t="shared" si="35"/>
        <v/>
      </c>
      <c r="X208" s="10">
        <v>0</v>
      </c>
      <c r="Y208" s="11">
        <v>0</v>
      </c>
      <c r="Z208" s="11">
        <v>0</v>
      </c>
      <c r="AA208" s="11">
        <v>0</v>
      </c>
      <c r="AB208" s="11">
        <v>0</v>
      </c>
      <c r="AC208" s="11">
        <v>0</v>
      </c>
      <c r="AD208" s="11">
        <v>0</v>
      </c>
      <c r="AE208" s="12">
        <v>0</v>
      </c>
      <c r="AG208" s="45">
        <f t="shared" si="38"/>
        <v>0</v>
      </c>
      <c r="AH208" s="45">
        <f t="shared" si="36"/>
        <v>0</v>
      </c>
      <c r="AI208" s="45">
        <f t="shared" si="39"/>
        <v>0</v>
      </c>
      <c r="AJ208" s="45">
        <f t="shared" si="40"/>
        <v>0</v>
      </c>
      <c r="AK208" s="45">
        <f t="shared" si="37"/>
        <v>0</v>
      </c>
      <c r="AL208" s="1">
        <f t="shared" si="45"/>
        <v>0</v>
      </c>
      <c r="AM208" s="1">
        <f t="shared" si="41"/>
        <v>0</v>
      </c>
      <c r="AO208" s="45">
        <f t="shared" si="42"/>
        <v>0</v>
      </c>
      <c r="AP208" s="45">
        <f t="shared" si="43"/>
        <v>0</v>
      </c>
      <c r="AQ208" s="45">
        <f t="shared" si="44"/>
        <v>0</v>
      </c>
    </row>
    <row r="209" spans="1:43" ht="15" thickTop="1" thickBot="1" x14ac:dyDescent="0.5">
      <c r="A209" s="68" t="str">
        <f>IF(ISTEXT('Data Sheet'!B209),'Data Sheet'!B209&amp;" "&amp;'Data Sheet'!A209,"")</f>
        <v/>
      </c>
      <c r="B209" s="70">
        <f>'Data Sheet'!C209</f>
        <v>206</v>
      </c>
      <c r="C209" s="38"/>
      <c r="D209" s="44">
        <f>'Data Sheet'!E209</f>
        <v>0</v>
      </c>
      <c r="E209" s="44">
        <f>'Data Sheet'!F209</f>
        <v>0</v>
      </c>
      <c r="F209" s="44">
        <f>'Data Sheet'!G209</f>
        <v>0</v>
      </c>
      <c r="G209" s="44">
        <f>'Data Sheet'!H209</f>
        <v>0</v>
      </c>
      <c r="H209" s="44">
        <f>'Data Sheet'!I209</f>
        <v>0</v>
      </c>
      <c r="I209" s="44">
        <f>'Data Sheet'!J209</f>
        <v>0</v>
      </c>
      <c r="J209" s="44">
        <f>'Data Sheet'!K209</f>
        <v>0</v>
      </c>
      <c r="K209" s="44">
        <f>'Data Sheet'!L209</f>
        <v>0</v>
      </c>
      <c r="L209" s="44">
        <f>'Data Sheet'!M209</f>
        <v>0</v>
      </c>
      <c r="M209" s="5"/>
      <c r="N209" s="44">
        <f>'Data Sheet'!O209</f>
        <v>0</v>
      </c>
      <c r="O209" s="44">
        <f>'Data Sheet'!P209</f>
        <v>0</v>
      </c>
      <c r="P209" s="44">
        <f>'Data Sheet'!Q209</f>
        <v>0</v>
      </c>
      <c r="Q209" s="44">
        <f>'Data Sheet'!R209</f>
        <v>0</v>
      </c>
      <c r="R209" s="44">
        <f>'Data Sheet'!S209</f>
        <v>0</v>
      </c>
      <c r="S209" s="44">
        <f>'Data Sheet'!T209</f>
        <v>0</v>
      </c>
      <c r="T209" s="44">
        <f>'Data Sheet'!U209</f>
        <v>0</v>
      </c>
      <c r="U209" s="44">
        <f>'Data Sheet'!V209</f>
        <v>0</v>
      </c>
      <c r="V209" s="5"/>
      <c r="W209" s="16" t="str">
        <f t="shared" si="35"/>
        <v/>
      </c>
      <c r="X209" s="10">
        <v>0</v>
      </c>
      <c r="Y209" s="11">
        <v>0</v>
      </c>
      <c r="Z209" s="11">
        <v>0</v>
      </c>
      <c r="AA209" s="11">
        <v>0</v>
      </c>
      <c r="AB209" s="11">
        <v>0</v>
      </c>
      <c r="AC209" s="11">
        <v>0</v>
      </c>
      <c r="AD209" s="11">
        <v>0</v>
      </c>
      <c r="AE209" s="12">
        <v>0</v>
      </c>
      <c r="AG209" s="45">
        <f t="shared" si="38"/>
        <v>0</v>
      </c>
      <c r="AH209" s="45">
        <f t="shared" ref="AH209:AH223" si="46">IF(A209="",0,1)</f>
        <v>0</v>
      </c>
      <c r="AI209" s="45">
        <f t="shared" si="39"/>
        <v>0</v>
      </c>
      <c r="AJ209" s="45">
        <f t="shared" si="40"/>
        <v>0</v>
      </c>
      <c r="AK209" s="45">
        <f t="shared" si="37"/>
        <v>0</v>
      </c>
      <c r="AL209" s="1">
        <f t="shared" si="45"/>
        <v>0</v>
      </c>
      <c r="AM209" s="1">
        <f t="shared" si="41"/>
        <v>0</v>
      </c>
      <c r="AO209" s="45">
        <f t="shared" si="42"/>
        <v>0</v>
      </c>
      <c r="AP209" s="45">
        <f t="shared" si="43"/>
        <v>0</v>
      </c>
      <c r="AQ209" s="45">
        <f t="shared" si="44"/>
        <v>0</v>
      </c>
    </row>
    <row r="210" spans="1:43" ht="15" thickTop="1" thickBot="1" x14ac:dyDescent="0.5">
      <c r="A210" s="68" t="str">
        <f>IF(ISTEXT('Data Sheet'!B210),'Data Sheet'!B210&amp;" "&amp;'Data Sheet'!A210,"")</f>
        <v/>
      </c>
      <c r="B210" s="70">
        <f>'Data Sheet'!C210</f>
        <v>207</v>
      </c>
      <c r="C210" s="38"/>
      <c r="D210" s="44">
        <f>'Data Sheet'!E210</f>
        <v>0</v>
      </c>
      <c r="E210" s="44">
        <f>'Data Sheet'!F210</f>
        <v>0</v>
      </c>
      <c r="F210" s="44">
        <f>'Data Sheet'!G210</f>
        <v>0</v>
      </c>
      <c r="G210" s="44">
        <f>'Data Sheet'!H210</f>
        <v>0</v>
      </c>
      <c r="H210" s="44">
        <f>'Data Sheet'!I210</f>
        <v>0</v>
      </c>
      <c r="I210" s="44">
        <f>'Data Sheet'!J210</f>
        <v>0</v>
      </c>
      <c r="J210" s="44">
        <f>'Data Sheet'!K210</f>
        <v>0</v>
      </c>
      <c r="K210" s="44">
        <f>'Data Sheet'!L210</f>
        <v>0</v>
      </c>
      <c r="L210" s="44">
        <f>'Data Sheet'!M210</f>
        <v>0</v>
      </c>
      <c r="M210" s="5"/>
      <c r="N210" s="44">
        <f>'Data Sheet'!O210</f>
        <v>0</v>
      </c>
      <c r="O210" s="44">
        <f>'Data Sheet'!P210</f>
        <v>0</v>
      </c>
      <c r="P210" s="44">
        <f>'Data Sheet'!Q210</f>
        <v>0</v>
      </c>
      <c r="Q210" s="44">
        <f>'Data Sheet'!R210</f>
        <v>0</v>
      </c>
      <c r="R210" s="44">
        <f>'Data Sheet'!S210</f>
        <v>0</v>
      </c>
      <c r="S210" s="44">
        <f>'Data Sheet'!T210</f>
        <v>0</v>
      </c>
      <c r="T210" s="44">
        <f>'Data Sheet'!U210</f>
        <v>0</v>
      </c>
      <c r="U210" s="44">
        <f>'Data Sheet'!V210</f>
        <v>0</v>
      </c>
      <c r="V210" s="5"/>
      <c r="W210" s="16" t="str">
        <f t="shared" si="35"/>
        <v/>
      </c>
      <c r="X210" s="10">
        <v>0</v>
      </c>
      <c r="Y210" s="11">
        <v>0</v>
      </c>
      <c r="Z210" s="11">
        <v>0</v>
      </c>
      <c r="AA210" s="11">
        <v>0</v>
      </c>
      <c r="AB210" s="11">
        <v>0</v>
      </c>
      <c r="AC210" s="11">
        <v>0</v>
      </c>
      <c r="AD210" s="11">
        <v>0</v>
      </c>
      <c r="AE210" s="12">
        <v>0</v>
      </c>
      <c r="AG210" s="45">
        <f t="shared" si="38"/>
        <v>0</v>
      </c>
      <c r="AH210" s="45">
        <f t="shared" si="46"/>
        <v>0</v>
      </c>
      <c r="AI210" s="45">
        <f t="shared" si="39"/>
        <v>0</v>
      </c>
      <c r="AJ210" s="45">
        <f t="shared" si="40"/>
        <v>0</v>
      </c>
      <c r="AK210" s="45">
        <f t="shared" si="37"/>
        <v>0</v>
      </c>
      <c r="AL210" s="1">
        <f t="shared" si="45"/>
        <v>0</v>
      </c>
      <c r="AM210" s="1">
        <f t="shared" si="41"/>
        <v>0</v>
      </c>
      <c r="AO210" s="45">
        <f t="shared" si="42"/>
        <v>0</v>
      </c>
      <c r="AP210" s="45">
        <f t="shared" si="43"/>
        <v>0</v>
      </c>
      <c r="AQ210" s="45">
        <f t="shared" si="44"/>
        <v>0</v>
      </c>
    </row>
    <row r="211" spans="1:43" ht="15" thickTop="1" thickBot="1" x14ac:dyDescent="0.5">
      <c r="A211" s="68" t="str">
        <f>IF(ISTEXT('Data Sheet'!B211),'Data Sheet'!B211&amp;" "&amp;'Data Sheet'!A211,"")</f>
        <v/>
      </c>
      <c r="B211" s="70">
        <f>'Data Sheet'!C211</f>
        <v>208</v>
      </c>
      <c r="C211" s="38"/>
      <c r="D211" s="44">
        <f>'Data Sheet'!E211</f>
        <v>0</v>
      </c>
      <c r="E211" s="44">
        <f>'Data Sheet'!F211</f>
        <v>0</v>
      </c>
      <c r="F211" s="44">
        <f>'Data Sheet'!G211</f>
        <v>0</v>
      </c>
      <c r="G211" s="44">
        <f>'Data Sheet'!H211</f>
        <v>0</v>
      </c>
      <c r="H211" s="44">
        <f>'Data Sheet'!I211</f>
        <v>0</v>
      </c>
      <c r="I211" s="44">
        <f>'Data Sheet'!J211</f>
        <v>0</v>
      </c>
      <c r="J211" s="44">
        <f>'Data Sheet'!K211</f>
        <v>0</v>
      </c>
      <c r="K211" s="44">
        <f>'Data Sheet'!L211</f>
        <v>0</v>
      </c>
      <c r="L211" s="44">
        <f>'Data Sheet'!M211</f>
        <v>0</v>
      </c>
      <c r="M211" s="5"/>
      <c r="N211" s="44">
        <f>'Data Sheet'!O211</f>
        <v>0</v>
      </c>
      <c r="O211" s="44">
        <f>'Data Sheet'!P211</f>
        <v>0</v>
      </c>
      <c r="P211" s="44">
        <f>'Data Sheet'!Q211</f>
        <v>0</v>
      </c>
      <c r="Q211" s="44">
        <f>'Data Sheet'!R211</f>
        <v>0</v>
      </c>
      <c r="R211" s="44">
        <f>'Data Sheet'!S211</f>
        <v>0</v>
      </c>
      <c r="S211" s="44">
        <f>'Data Sheet'!T211</f>
        <v>0</v>
      </c>
      <c r="T211" s="44">
        <f>'Data Sheet'!U211</f>
        <v>0</v>
      </c>
      <c r="U211" s="44">
        <f>'Data Sheet'!V211</f>
        <v>0</v>
      </c>
      <c r="V211" s="5"/>
      <c r="W211" s="16" t="str">
        <f t="shared" si="35"/>
        <v/>
      </c>
      <c r="X211" s="10">
        <v>0</v>
      </c>
      <c r="Y211" s="11">
        <v>0</v>
      </c>
      <c r="Z211" s="11">
        <v>0</v>
      </c>
      <c r="AA211" s="11">
        <v>0</v>
      </c>
      <c r="AB211" s="11">
        <v>0</v>
      </c>
      <c r="AC211" s="11">
        <v>0</v>
      </c>
      <c r="AD211" s="11">
        <v>0</v>
      </c>
      <c r="AE211" s="12">
        <v>0</v>
      </c>
      <c r="AG211" s="45">
        <f t="shared" si="38"/>
        <v>0</v>
      </c>
      <c r="AH211" s="45">
        <f t="shared" si="46"/>
        <v>0</v>
      </c>
      <c r="AI211" s="45">
        <f t="shared" si="39"/>
        <v>0</v>
      </c>
      <c r="AJ211" s="45">
        <f t="shared" si="40"/>
        <v>0</v>
      </c>
      <c r="AK211" s="45">
        <f t="shared" si="37"/>
        <v>0</v>
      </c>
      <c r="AL211" s="1">
        <f t="shared" si="45"/>
        <v>0</v>
      </c>
      <c r="AM211" s="1">
        <f t="shared" si="41"/>
        <v>0</v>
      </c>
      <c r="AO211" s="45">
        <f t="shared" si="42"/>
        <v>0</v>
      </c>
      <c r="AP211" s="45">
        <f t="shared" si="43"/>
        <v>0</v>
      </c>
      <c r="AQ211" s="45">
        <f t="shared" si="44"/>
        <v>0</v>
      </c>
    </row>
    <row r="212" spans="1:43" ht="15" thickTop="1" thickBot="1" x14ac:dyDescent="0.5">
      <c r="A212" s="68" t="str">
        <f>IF(ISTEXT('Data Sheet'!B212),'Data Sheet'!B212&amp;" "&amp;'Data Sheet'!A212,"")</f>
        <v/>
      </c>
      <c r="B212" s="70">
        <f>'Data Sheet'!C212</f>
        <v>209</v>
      </c>
      <c r="C212" s="38"/>
      <c r="D212" s="44">
        <f>'Data Sheet'!E212</f>
        <v>0</v>
      </c>
      <c r="E212" s="44">
        <f>'Data Sheet'!F212</f>
        <v>0</v>
      </c>
      <c r="F212" s="44">
        <f>'Data Sheet'!G212</f>
        <v>0</v>
      </c>
      <c r="G212" s="44">
        <f>'Data Sheet'!H212</f>
        <v>0</v>
      </c>
      <c r="H212" s="44">
        <f>'Data Sheet'!I212</f>
        <v>0</v>
      </c>
      <c r="I212" s="44">
        <f>'Data Sheet'!J212</f>
        <v>0</v>
      </c>
      <c r="J212" s="44">
        <f>'Data Sheet'!K212</f>
        <v>0</v>
      </c>
      <c r="K212" s="44">
        <f>'Data Sheet'!L212</f>
        <v>0</v>
      </c>
      <c r="L212" s="44">
        <f>'Data Sheet'!M212</f>
        <v>0</v>
      </c>
      <c r="M212" s="5"/>
      <c r="N212" s="44">
        <f>'Data Sheet'!O212</f>
        <v>0</v>
      </c>
      <c r="O212" s="44">
        <f>'Data Sheet'!P212</f>
        <v>0</v>
      </c>
      <c r="P212" s="44">
        <f>'Data Sheet'!Q212</f>
        <v>0</v>
      </c>
      <c r="Q212" s="44">
        <f>'Data Sheet'!R212</f>
        <v>0</v>
      </c>
      <c r="R212" s="44">
        <f>'Data Sheet'!S212</f>
        <v>0</v>
      </c>
      <c r="S212" s="44">
        <f>'Data Sheet'!T212</f>
        <v>0</v>
      </c>
      <c r="T212" s="44">
        <f>'Data Sheet'!U212</f>
        <v>0</v>
      </c>
      <c r="U212" s="44">
        <f>'Data Sheet'!V212</f>
        <v>0</v>
      </c>
      <c r="V212" s="5"/>
      <c r="W212" s="16" t="str">
        <f t="shared" si="35"/>
        <v/>
      </c>
      <c r="X212" s="10">
        <v>0</v>
      </c>
      <c r="Y212" s="11">
        <v>0</v>
      </c>
      <c r="Z212" s="11">
        <v>0</v>
      </c>
      <c r="AA212" s="11">
        <v>0</v>
      </c>
      <c r="AB212" s="11">
        <v>0</v>
      </c>
      <c r="AC212" s="11">
        <v>0</v>
      </c>
      <c r="AD212" s="11">
        <v>0</v>
      </c>
      <c r="AE212" s="12">
        <v>0</v>
      </c>
      <c r="AG212" s="45">
        <f t="shared" si="38"/>
        <v>0</v>
      </c>
      <c r="AH212" s="45">
        <f t="shared" si="46"/>
        <v>0</v>
      </c>
      <c r="AI212" s="45">
        <f t="shared" si="39"/>
        <v>0</v>
      </c>
      <c r="AJ212" s="45">
        <f t="shared" si="40"/>
        <v>0</v>
      </c>
      <c r="AK212" s="45">
        <f>SUMPRODUCT(X212:AE212,N212:U212)</f>
        <v>0</v>
      </c>
      <c r="AL212" s="1">
        <f t="shared" si="45"/>
        <v>0</v>
      </c>
      <c r="AM212" s="1">
        <f t="shared" si="41"/>
        <v>0</v>
      </c>
      <c r="AO212" s="45">
        <f t="shared" si="42"/>
        <v>0</v>
      </c>
      <c r="AP212" s="45">
        <f t="shared" si="43"/>
        <v>0</v>
      </c>
      <c r="AQ212" s="45">
        <f t="shared" si="44"/>
        <v>0</v>
      </c>
    </row>
    <row r="213" spans="1:43" ht="15" thickTop="1" thickBot="1" x14ac:dyDescent="0.5">
      <c r="A213" s="68" t="str">
        <f>IF(ISTEXT('Data Sheet'!B213),'Data Sheet'!B213&amp;" "&amp;'Data Sheet'!A213,"")</f>
        <v/>
      </c>
      <c r="B213" s="70">
        <f>'Data Sheet'!C213</f>
        <v>210</v>
      </c>
      <c r="C213" s="38"/>
      <c r="D213" s="44">
        <f>'Data Sheet'!E213</f>
        <v>0</v>
      </c>
      <c r="E213" s="44">
        <f>'Data Sheet'!F213</f>
        <v>0</v>
      </c>
      <c r="F213" s="44">
        <f>'Data Sheet'!G213</f>
        <v>0</v>
      </c>
      <c r="G213" s="44">
        <f>'Data Sheet'!H213</f>
        <v>0</v>
      </c>
      <c r="H213" s="44">
        <f>'Data Sheet'!I213</f>
        <v>0</v>
      </c>
      <c r="I213" s="44">
        <f>'Data Sheet'!J213</f>
        <v>0</v>
      </c>
      <c r="J213" s="44">
        <f>'Data Sheet'!K213</f>
        <v>0</v>
      </c>
      <c r="K213" s="44">
        <f>'Data Sheet'!L213</f>
        <v>0</v>
      </c>
      <c r="L213" s="44">
        <f>'Data Sheet'!M213</f>
        <v>0</v>
      </c>
      <c r="M213" s="5"/>
      <c r="N213" s="44">
        <f>'Data Sheet'!O213</f>
        <v>0</v>
      </c>
      <c r="O213" s="44">
        <f>'Data Sheet'!P213</f>
        <v>0</v>
      </c>
      <c r="P213" s="44">
        <f>'Data Sheet'!Q213</f>
        <v>0</v>
      </c>
      <c r="Q213" s="44">
        <f>'Data Sheet'!R213</f>
        <v>0</v>
      </c>
      <c r="R213" s="44">
        <f>'Data Sheet'!S213</f>
        <v>0</v>
      </c>
      <c r="S213" s="44">
        <f>'Data Sheet'!T213</f>
        <v>0</v>
      </c>
      <c r="T213" s="44">
        <f>'Data Sheet'!U213</f>
        <v>0</v>
      </c>
      <c r="U213" s="44">
        <f>'Data Sheet'!V213</f>
        <v>0</v>
      </c>
      <c r="V213" s="5"/>
      <c r="W213" s="16" t="str">
        <f t="shared" si="35"/>
        <v/>
      </c>
      <c r="X213" s="10">
        <v>0</v>
      </c>
      <c r="Y213" s="11">
        <v>0</v>
      </c>
      <c r="Z213" s="11">
        <v>0</v>
      </c>
      <c r="AA213" s="11">
        <v>0</v>
      </c>
      <c r="AB213" s="11">
        <v>0</v>
      </c>
      <c r="AC213" s="11">
        <v>0</v>
      </c>
      <c r="AD213" s="11">
        <v>0</v>
      </c>
      <c r="AE213" s="12">
        <v>0</v>
      </c>
      <c r="AG213" s="45">
        <f t="shared" si="38"/>
        <v>0</v>
      </c>
      <c r="AH213" s="45">
        <f t="shared" si="46"/>
        <v>0</v>
      </c>
      <c r="AI213" s="45">
        <f t="shared" si="39"/>
        <v>0</v>
      </c>
      <c r="AJ213" s="45">
        <f t="shared" si="40"/>
        <v>0</v>
      </c>
      <c r="AK213" s="45">
        <f t="shared" si="37"/>
        <v>0</v>
      </c>
      <c r="AL213" s="1">
        <f t="shared" si="45"/>
        <v>0</v>
      </c>
      <c r="AM213" s="1">
        <f t="shared" si="41"/>
        <v>0</v>
      </c>
      <c r="AO213" s="45">
        <f t="shared" si="42"/>
        <v>0</v>
      </c>
      <c r="AP213" s="45">
        <f t="shared" si="43"/>
        <v>0</v>
      </c>
      <c r="AQ213" s="45">
        <f t="shared" si="44"/>
        <v>0</v>
      </c>
    </row>
    <row r="214" spans="1:43" ht="15" thickTop="1" thickBot="1" x14ac:dyDescent="0.5">
      <c r="A214" s="68" t="str">
        <f>IF(ISTEXT('Data Sheet'!B214),'Data Sheet'!B214&amp;" "&amp;'Data Sheet'!A214,"")</f>
        <v/>
      </c>
      <c r="B214" s="70">
        <f>'Data Sheet'!C214</f>
        <v>211</v>
      </c>
      <c r="C214" s="38"/>
      <c r="D214" s="44">
        <f>'Data Sheet'!E214</f>
        <v>0</v>
      </c>
      <c r="E214" s="44">
        <f>'Data Sheet'!F214</f>
        <v>0</v>
      </c>
      <c r="F214" s="44">
        <f>'Data Sheet'!G214</f>
        <v>0</v>
      </c>
      <c r="G214" s="44">
        <f>'Data Sheet'!H214</f>
        <v>0</v>
      </c>
      <c r="H214" s="44">
        <f>'Data Sheet'!I214</f>
        <v>0</v>
      </c>
      <c r="I214" s="44">
        <f>'Data Sheet'!J214</f>
        <v>0</v>
      </c>
      <c r="J214" s="44">
        <f>'Data Sheet'!K214</f>
        <v>0</v>
      </c>
      <c r="K214" s="44">
        <f>'Data Sheet'!L214</f>
        <v>0</v>
      </c>
      <c r="L214" s="44">
        <f>'Data Sheet'!M214</f>
        <v>0</v>
      </c>
      <c r="M214" s="5"/>
      <c r="N214" s="44">
        <f>'Data Sheet'!O214</f>
        <v>0</v>
      </c>
      <c r="O214" s="44">
        <f>'Data Sheet'!P214</f>
        <v>0</v>
      </c>
      <c r="P214" s="44">
        <f>'Data Sheet'!Q214</f>
        <v>0</v>
      </c>
      <c r="Q214" s="44">
        <f>'Data Sheet'!R214</f>
        <v>0</v>
      </c>
      <c r="R214" s="44">
        <f>'Data Sheet'!S214</f>
        <v>0</v>
      </c>
      <c r="S214" s="44">
        <f>'Data Sheet'!T214</f>
        <v>0</v>
      </c>
      <c r="T214" s="44">
        <f>'Data Sheet'!U214</f>
        <v>0</v>
      </c>
      <c r="U214" s="44">
        <f>'Data Sheet'!V214</f>
        <v>0</v>
      </c>
      <c r="V214" s="5"/>
      <c r="W214" s="16" t="str">
        <f t="shared" si="35"/>
        <v/>
      </c>
      <c r="X214" s="10">
        <v>0</v>
      </c>
      <c r="Y214" s="11">
        <v>0</v>
      </c>
      <c r="Z214" s="11">
        <v>0</v>
      </c>
      <c r="AA214" s="11">
        <v>0</v>
      </c>
      <c r="AB214" s="11">
        <v>0</v>
      </c>
      <c r="AC214" s="11">
        <v>0</v>
      </c>
      <c r="AD214" s="11">
        <v>0</v>
      </c>
      <c r="AE214" s="12">
        <v>0</v>
      </c>
      <c r="AG214" s="45">
        <f t="shared" si="38"/>
        <v>0</v>
      </c>
      <c r="AH214" s="45">
        <f t="shared" si="46"/>
        <v>0</v>
      </c>
      <c r="AI214" s="45">
        <f t="shared" si="39"/>
        <v>0</v>
      </c>
      <c r="AJ214" s="45">
        <f t="shared" si="40"/>
        <v>0</v>
      </c>
      <c r="AK214" s="45">
        <f t="shared" si="37"/>
        <v>0</v>
      </c>
      <c r="AL214" s="1">
        <f t="shared" si="45"/>
        <v>0</v>
      </c>
      <c r="AM214" s="1">
        <f t="shared" si="41"/>
        <v>0</v>
      </c>
      <c r="AO214" s="45">
        <f t="shared" si="42"/>
        <v>0</v>
      </c>
      <c r="AP214" s="45">
        <f t="shared" si="43"/>
        <v>0</v>
      </c>
      <c r="AQ214" s="45">
        <f t="shared" si="44"/>
        <v>0</v>
      </c>
    </row>
    <row r="215" spans="1:43" ht="15" thickTop="1" thickBot="1" x14ac:dyDescent="0.5">
      <c r="A215" s="68" t="str">
        <f>IF(ISTEXT('Data Sheet'!B215),'Data Sheet'!B215&amp;" "&amp;'Data Sheet'!A215,"")</f>
        <v/>
      </c>
      <c r="B215" s="70">
        <f>'Data Sheet'!C215</f>
        <v>212</v>
      </c>
      <c r="C215" s="38"/>
      <c r="D215" s="44">
        <f>'Data Sheet'!E215</f>
        <v>0</v>
      </c>
      <c r="E215" s="44">
        <f>'Data Sheet'!F215</f>
        <v>0</v>
      </c>
      <c r="F215" s="44">
        <f>'Data Sheet'!G215</f>
        <v>0</v>
      </c>
      <c r="G215" s="44">
        <f>'Data Sheet'!H215</f>
        <v>0</v>
      </c>
      <c r="H215" s="44">
        <f>'Data Sheet'!I215</f>
        <v>0</v>
      </c>
      <c r="I215" s="44">
        <f>'Data Sheet'!J215</f>
        <v>0</v>
      </c>
      <c r="J215" s="44">
        <f>'Data Sheet'!K215</f>
        <v>0</v>
      </c>
      <c r="K215" s="44">
        <f>'Data Sheet'!L215</f>
        <v>0</v>
      </c>
      <c r="L215" s="44">
        <f>'Data Sheet'!M215</f>
        <v>0</v>
      </c>
      <c r="M215" s="5"/>
      <c r="N215" s="44">
        <f>'Data Sheet'!O215</f>
        <v>0</v>
      </c>
      <c r="O215" s="44">
        <f>'Data Sheet'!P215</f>
        <v>0</v>
      </c>
      <c r="P215" s="44">
        <f>'Data Sheet'!Q215</f>
        <v>0</v>
      </c>
      <c r="Q215" s="44">
        <f>'Data Sheet'!R215</f>
        <v>0</v>
      </c>
      <c r="R215" s="44">
        <f>'Data Sheet'!S215</f>
        <v>0</v>
      </c>
      <c r="S215" s="44">
        <f>'Data Sheet'!T215</f>
        <v>0</v>
      </c>
      <c r="T215" s="44">
        <f>'Data Sheet'!U215</f>
        <v>0</v>
      </c>
      <c r="U215" s="44">
        <f>'Data Sheet'!V215</f>
        <v>0</v>
      </c>
      <c r="V215" s="5"/>
      <c r="W215" s="16" t="str">
        <f t="shared" si="35"/>
        <v/>
      </c>
      <c r="X215" s="10">
        <v>0</v>
      </c>
      <c r="Y215" s="11">
        <v>0</v>
      </c>
      <c r="Z215" s="11">
        <v>0</v>
      </c>
      <c r="AA215" s="11">
        <v>0</v>
      </c>
      <c r="AB215" s="11">
        <v>0</v>
      </c>
      <c r="AC215" s="11">
        <v>0</v>
      </c>
      <c r="AD215" s="11">
        <v>0</v>
      </c>
      <c r="AE215" s="12">
        <v>0</v>
      </c>
      <c r="AG215" s="45">
        <f t="shared" si="38"/>
        <v>0</v>
      </c>
      <c r="AH215" s="45">
        <f t="shared" si="46"/>
        <v>0</v>
      </c>
      <c r="AI215" s="45">
        <f t="shared" si="39"/>
        <v>0</v>
      </c>
      <c r="AJ215" s="45">
        <f t="shared" si="40"/>
        <v>0</v>
      </c>
      <c r="AK215" s="45">
        <f t="shared" si="37"/>
        <v>0</v>
      </c>
      <c r="AL215" s="1">
        <f t="shared" si="45"/>
        <v>0</v>
      </c>
      <c r="AM215" s="1">
        <f t="shared" si="41"/>
        <v>0</v>
      </c>
      <c r="AO215" s="45">
        <f t="shared" si="42"/>
        <v>0</v>
      </c>
      <c r="AP215" s="45">
        <f t="shared" si="43"/>
        <v>0</v>
      </c>
      <c r="AQ215" s="45">
        <f t="shared" si="44"/>
        <v>0</v>
      </c>
    </row>
    <row r="216" spans="1:43" ht="15" thickTop="1" thickBot="1" x14ac:dyDescent="0.5">
      <c r="A216" s="68" t="str">
        <f>IF(ISTEXT('Data Sheet'!B216),'Data Sheet'!B216&amp;" "&amp;'Data Sheet'!A216,"")</f>
        <v/>
      </c>
      <c r="B216" s="70">
        <f>'Data Sheet'!C216</f>
        <v>213</v>
      </c>
      <c r="C216" s="38"/>
      <c r="D216" s="44">
        <f>'Data Sheet'!E216</f>
        <v>0</v>
      </c>
      <c r="E216" s="44">
        <f>'Data Sheet'!F216</f>
        <v>0</v>
      </c>
      <c r="F216" s="44">
        <f>'Data Sheet'!G216</f>
        <v>0</v>
      </c>
      <c r="G216" s="44">
        <f>'Data Sheet'!H216</f>
        <v>0</v>
      </c>
      <c r="H216" s="44">
        <f>'Data Sheet'!I216</f>
        <v>0</v>
      </c>
      <c r="I216" s="44">
        <f>'Data Sheet'!J216</f>
        <v>0</v>
      </c>
      <c r="J216" s="44">
        <f>'Data Sheet'!K216</f>
        <v>0</v>
      </c>
      <c r="K216" s="44">
        <f>'Data Sheet'!L216</f>
        <v>0</v>
      </c>
      <c r="L216" s="44">
        <f>'Data Sheet'!M216</f>
        <v>0</v>
      </c>
      <c r="M216" s="5"/>
      <c r="N216" s="44">
        <f>'Data Sheet'!O216</f>
        <v>0</v>
      </c>
      <c r="O216" s="44">
        <f>'Data Sheet'!P216</f>
        <v>0</v>
      </c>
      <c r="P216" s="44">
        <f>'Data Sheet'!Q216</f>
        <v>0</v>
      </c>
      <c r="Q216" s="44">
        <f>'Data Sheet'!R216</f>
        <v>0</v>
      </c>
      <c r="R216" s="44">
        <f>'Data Sheet'!S216</f>
        <v>0</v>
      </c>
      <c r="S216" s="44">
        <f>'Data Sheet'!T216</f>
        <v>0</v>
      </c>
      <c r="T216" s="44">
        <f>'Data Sheet'!U216</f>
        <v>0</v>
      </c>
      <c r="U216" s="44">
        <f>'Data Sheet'!V216</f>
        <v>0</v>
      </c>
      <c r="V216" s="5"/>
      <c r="W216" s="16" t="str">
        <f t="shared" si="35"/>
        <v/>
      </c>
      <c r="X216" s="10">
        <v>0</v>
      </c>
      <c r="Y216" s="11">
        <v>0</v>
      </c>
      <c r="Z216" s="11">
        <v>0</v>
      </c>
      <c r="AA216" s="11">
        <v>0</v>
      </c>
      <c r="AB216" s="11">
        <v>0</v>
      </c>
      <c r="AC216" s="11">
        <v>0</v>
      </c>
      <c r="AD216" s="11">
        <v>0</v>
      </c>
      <c r="AE216" s="12">
        <v>0</v>
      </c>
      <c r="AG216" s="45">
        <f t="shared" si="38"/>
        <v>0</v>
      </c>
      <c r="AH216" s="45">
        <f t="shared" si="46"/>
        <v>0</v>
      </c>
      <c r="AI216" s="45">
        <f t="shared" si="39"/>
        <v>0</v>
      </c>
      <c r="AJ216" s="45">
        <f t="shared" si="40"/>
        <v>0</v>
      </c>
      <c r="AK216" s="45">
        <f t="shared" si="37"/>
        <v>0</v>
      </c>
      <c r="AL216" s="1">
        <f t="shared" si="45"/>
        <v>0</v>
      </c>
      <c r="AM216" s="1">
        <f t="shared" si="41"/>
        <v>0</v>
      </c>
      <c r="AO216" s="45">
        <f t="shared" si="42"/>
        <v>0</v>
      </c>
      <c r="AP216" s="45">
        <f t="shared" si="43"/>
        <v>0</v>
      </c>
      <c r="AQ216" s="45">
        <f t="shared" si="44"/>
        <v>0</v>
      </c>
    </row>
    <row r="217" spans="1:43" ht="15" thickTop="1" thickBot="1" x14ac:dyDescent="0.5">
      <c r="A217" s="68" t="str">
        <f>IF(ISTEXT('Data Sheet'!B217),'Data Sheet'!B217&amp;" "&amp;'Data Sheet'!A217,"")</f>
        <v/>
      </c>
      <c r="B217" s="70">
        <f>'Data Sheet'!C217</f>
        <v>214</v>
      </c>
      <c r="C217" s="38"/>
      <c r="D217" s="44">
        <f>'Data Sheet'!E217</f>
        <v>0</v>
      </c>
      <c r="E217" s="44">
        <f>'Data Sheet'!F217</f>
        <v>0</v>
      </c>
      <c r="F217" s="44">
        <f>'Data Sheet'!G217</f>
        <v>0</v>
      </c>
      <c r="G217" s="44">
        <f>'Data Sheet'!H217</f>
        <v>0</v>
      </c>
      <c r="H217" s="44">
        <f>'Data Sheet'!I217</f>
        <v>0</v>
      </c>
      <c r="I217" s="44">
        <f>'Data Sheet'!J217</f>
        <v>0</v>
      </c>
      <c r="J217" s="44">
        <f>'Data Sheet'!K217</f>
        <v>0</v>
      </c>
      <c r="K217" s="44">
        <f>'Data Sheet'!L217</f>
        <v>0</v>
      </c>
      <c r="L217" s="44">
        <f>'Data Sheet'!M217</f>
        <v>0</v>
      </c>
      <c r="M217" s="5"/>
      <c r="N217" s="44">
        <f>'Data Sheet'!O217</f>
        <v>0</v>
      </c>
      <c r="O217" s="44">
        <f>'Data Sheet'!P217</f>
        <v>0</v>
      </c>
      <c r="P217" s="44">
        <f>'Data Sheet'!Q217</f>
        <v>0</v>
      </c>
      <c r="Q217" s="44">
        <f>'Data Sheet'!R217</f>
        <v>0</v>
      </c>
      <c r="R217" s="44">
        <f>'Data Sheet'!S217</f>
        <v>0</v>
      </c>
      <c r="S217" s="44">
        <f>'Data Sheet'!T217</f>
        <v>0</v>
      </c>
      <c r="T217" s="44">
        <f>'Data Sheet'!U217</f>
        <v>0</v>
      </c>
      <c r="U217" s="44">
        <f>'Data Sheet'!V217</f>
        <v>0</v>
      </c>
      <c r="V217" s="5"/>
      <c r="W217" s="16" t="str">
        <f t="shared" si="35"/>
        <v/>
      </c>
      <c r="X217" s="10">
        <v>0</v>
      </c>
      <c r="Y217" s="11">
        <v>0</v>
      </c>
      <c r="Z217" s="11">
        <v>0</v>
      </c>
      <c r="AA217" s="11">
        <v>0</v>
      </c>
      <c r="AB217" s="11">
        <v>0</v>
      </c>
      <c r="AC217" s="11">
        <v>0</v>
      </c>
      <c r="AD217" s="11">
        <v>0</v>
      </c>
      <c r="AE217" s="12">
        <v>0</v>
      </c>
      <c r="AG217" s="45">
        <f t="shared" si="38"/>
        <v>0</v>
      </c>
      <c r="AH217" s="45">
        <f t="shared" si="46"/>
        <v>0</v>
      </c>
      <c r="AI217" s="45">
        <f t="shared" si="39"/>
        <v>0</v>
      </c>
      <c r="AJ217" s="45">
        <f t="shared" si="40"/>
        <v>0</v>
      </c>
      <c r="AK217" s="45">
        <f t="shared" si="37"/>
        <v>0</v>
      </c>
      <c r="AL217" s="1">
        <f t="shared" si="45"/>
        <v>0</v>
      </c>
      <c r="AM217" s="1">
        <f t="shared" si="41"/>
        <v>0</v>
      </c>
      <c r="AO217" s="45">
        <f t="shared" si="42"/>
        <v>0</v>
      </c>
      <c r="AP217" s="45">
        <f t="shared" si="43"/>
        <v>0</v>
      </c>
      <c r="AQ217" s="45">
        <f t="shared" si="44"/>
        <v>0</v>
      </c>
    </row>
    <row r="218" spans="1:43" ht="15" thickTop="1" thickBot="1" x14ac:dyDescent="0.5">
      <c r="A218" s="68" t="str">
        <f>IF(ISTEXT('Data Sheet'!B218),'Data Sheet'!B218&amp;" "&amp;'Data Sheet'!A218,"")</f>
        <v/>
      </c>
      <c r="B218" s="70">
        <f>'Data Sheet'!C218</f>
        <v>215</v>
      </c>
      <c r="C218" s="38"/>
      <c r="D218" s="44">
        <f>'Data Sheet'!E218</f>
        <v>0</v>
      </c>
      <c r="E218" s="44">
        <f>'Data Sheet'!F218</f>
        <v>0</v>
      </c>
      <c r="F218" s="44">
        <f>'Data Sheet'!G218</f>
        <v>0</v>
      </c>
      <c r="G218" s="44">
        <f>'Data Sheet'!H218</f>
        <v>0</v>
      </c>
      <c r="H218" s="44">
        <f>'Data Sheet'!I218</f>
        <v>0</v>
      </c>
      <c r="I218" s="44">
        <f>'Data Sheet'!J218</f>
        <v>0</v>
      </c>
      <c r="J218" s="44">
        <f>'Data Sheet'!K218</f>
        <v>0</v>
      </c>
      <c r="K218" s="44">
        <f>'Data Sheet'!L218</f>
        <v>0</v>
      </c>
      <c r="L218" s="44">
        <f>'Data Sheet'!M218</f>
        <v>0</v>
      </c>
      <c r="M218" s="5"/>
      <c r="N218" s="44">
        <f>'Data Sheet'!O218</f>
        <v>0</v>
      </c>
      <c r="O218" s="44">
        <f>'Data Sheet'!P218</f>
        <v>0</v>
      </c>
      <c r="P218" s="44">
        <f>'Data Sheet'!Q218</f>
        <v>0</v>
      </c>
      <c r="Q218" s="44">
        <f>'Data Sheet'!R218</f>
        <v>0</v>
      </c>
      <c r="R218" s="44">
        <f>'Data Sheet'!S218</f>
        <v>0</v>
      </c>
      <c r="S218" s="44">
        <f>'Data Sheet'!T218</f>
        <v>0</v>
      </c>
      <c r="T218" s="44">
        <f>'Data Sheet'!U218</f>
        <v>0</v>
      </c>
      <c r="U218" s="44">
        <f>'Data Sheet'!V218</f>
        <v>0</v>
      </c>
      <c r="V218" s="5"/>
      <c r="W218" s="16" t="str">
        <f t="shared" si="35"/>
        <v/>
      </c>
      <c r="X218" s="10">
        <v>0</v>
      </c>
      <c r="Y218" s="11">
        <v>0</v>
      </c>
      <c r="Z218" s="11">
        <v>0</v>
      </c>
      <c r="AA218" s="11">
        <v>0</v>
      </c>
      <c r="AB218" s="11">
        <v>0</v>
      </c>
      <c r="AC218" s="11">
        <v>0</v>
      </c>
      <c r="AD218" s="11">
        <v>0</v>
      </c>
      <c r="AE218" s="12">
        <v>0</v>
      </c>
      <c r="AG218" s="45">
        <f t="shared" si="38"/>
        <v>0</v>
      </c>
      <c r="AH218" s="45">
        <f t="shared" si="46"/>
        <v>0</v>
      </c>
      <c r="AI218" s="45">
        <f t="shared" si="39"/>
        <v>0</v>
      </c>
      <c r="AJ218" s="45">
        <f t="shared" si="40"/>
        <v>0</v>
      </c>
      <c r="AK218" s="45">
        <f t="shared" si="37"/>
        <v>0</v>
      </c>
      <c r="AL218" s="1">
        <f t="shared" si="45"/>
        <v>0</v>
      </c>
      <c r="AM218" s="1">
        <f t="shared" si="41"/>
        <v>0</v>
      </c>
      <c r="AO218" s="45">
        <f t="shared" si="42"/>
        <v>0</v>
      </c>
      <c r="AP218" s="45">
        <f t="shared" si="43"/>
        <v>0</v>
      </c>
      <c r="AQ218" s="45">
        <f t="shared" si="44"/>
        <v>0</v>
      </c>
    </row>
    <row r="219" spans="1:43" ht="15" thickTop="1" thickBot="1" x14ac:dyDescent="0.5">
      <c r="A219" s="68" t="str">
        <f>IF(ISTEXT('Data Sheet'!B219),'Data Sheet'!B219&amp;" "&amp;'Data Sheet'!A219,"")</f>
        <v/>
      </c>
      <c r="B219" s="70">
        <f>'Data Sheet'!C219</f>
        <v>216</v>
      </c>
      <c r="C219" s="38"/>
      <c r="D219" s="44">
        <f>'Data Sheet'!E219</f>
        <v>0</v>
      </c>
      <c r="E219" s="44">
        <f>'Data Sheet'!F219</f>
        <v>0</v>
      </c>
      <c r="F219" s="44">
        <f>'Data Sheet'!G219</f>
        <v>0</v>
      </c>
      <c r="G219" s="44">
        <f>'Data Sheet'!H219</f>
        <v>0</v>
      </c>
      <c r="H219" s="44">
        <f>'Data Sheet'!I219</f>
        <v>0</v>
      </c>
      <c r="I219" s="44">
        <f>'Data Sheet'!J219</f>
        <v>0</v>
      </c>
      <c r="J219" s="44">
        <f>'Data Sheet'!K219</f>
        <v>0</v>
      </c>
      <c r="K219" s="44">
        <f>'Data Sheet'!L219</f>
        <v>0</v>
      </c>
      <c r="L219" s="44">
        <f>'Data Sheet'!M219</f>
        <v>0</v>
      </c>
      <c r="M219" s="5"/>
      <c r="N219" s="44">
        <f>'Data Sheet'!O219</f>
        <v>0</v>
      </c>
      <c r="O219" s="44">
        <f>'Data Sheet'!P219</f>
        <v>0</v>
      </c>
      <c r="P219" s="44">
        <f>'Data Sheet'!Q219</f>
        <v>0</v>
      </c>
      <c r="Q219" s="44">
        <f>'Data Sheet'!R219</f>
        <v>0</v>
      </c>
      <c r="R219" s="44">
        <f>'Data Sheet'!S219</f>
        <v>0</v>
      </c>
      <c r="S219" s="44">
        <f>'Data Sheet'!T219</f>
        <v>0</v>
      </c>
      <c r="T219" s="44">
        <f>'Data Sheet'!U219</f>
        <v>0</v>
      </c>
      <c r="U219" s="44">
        <f>'Data Sheet'!V219</f>
        <v>0</v>
      </c>
      <c r="V219" s="5"/>
      <c r="W219" s="16" t="str">
        <f t="shared" si="35"/>
        <v/>
      </c>
      <c r="X219" s="10">
        <v>0</v>
      </c>
      <c r="Y219" s="11">
        <v>0</v>
      </c>
      <c r="Z219" s="11">
        <v>0</v>
      </c>
      <c r="AA219" s="11">
        <v>0</v>
      </c>
      <c r="AB219" s="11">
        <v>0</v>
      </c>
      <c r="AC219" s="11">
        <v>0</v>
      </c>
      <c r="AD219" s="11">
        <v>0</v>
      </c>
      <c r="AE219" s="12">
        <v>0</v>
      </c>
      <c r="AG219" s="45">
        <f t="shared" si="38"/>
        <v>0</v>
      </c>
      <c r="AH219" s="45">
        <f t="shared" si="46"/>
        <v>0</v>
      </c>
      <c r="AI219" s="45">
        <f t="shared" si="39"/>
        <v>0</v>
      </c>
      <c r="AJ219" s="45">
        <f t="shared" si="40"/>
        <v>0</v>
      </c>
      <c r="AK219" s="45">
        <f t="shared" si="37"/>
        <v>0</v>
      </c>
      <c r="AL219" s="1">
        <f t="shared" si="45"/>
        <v>0</v>
      </c>
      <c r="AM219" s="1">
        <f t="shared" si="41"/>
        <v>0</v>
      </c>
      <c r="AO219" s="45">
        <f t="shared" si="42"/>
        <v>0</v>
      </c>
      <c r="AP219" s="45">
        <f t="shared" si="43"/>
        <v>0</v>
      </c>
      <c r="AQ219" s="45">
        <f t="shared" si="44"/>
        <v>0</v>
      </c>
    </row>
    <row r="220" spans="1:43" ht="15" thickTop="1" thickBot="1" x14ac:dyDescent="0.5">
      <c r="A220" s="68" t="str">
        <f>IF(ISTEXT('Data Sheet'!B220),'Data Sheet'!B220&amp;" "&amp;'Data Sheet'!A220,"")</f>
        <v/>
      </c>
      <c r="B220" s="70">
        <f>'Data Sheet'!C220</f>
        <v>217</v>
      </c>
      <c r="C220" s="38"/>
      <c r="D220" s="44">
        <f>'Data Sheet'!E220</f>
        <v>0</v>
      </c>
      <c r="E220" s="44">
        <f>'Data Sheet'!F220</f>
        <v>0</v>
      </c>
      <c r="F220" s="44">
        <f>'Data Sheet'!G220</f>
        <v>0</v>
      </c>
      <c r="G220" s="44">
        <f>'Data Sheet'!H220</f>
        <v>0</v>
      </c>
      <c r="H220" s="44">
        <f>'Data Sheet'!I220</f>
        <v>0</v>
      </c>
      <c r="I220" s="44">
        <f>'Data Sheet'!J220</f>
        <v>0</v>
      </c>
      <c r="J220" s="44">
        <f>'Data Sheet'!K220</f>
        <v>0</v>
      </c>
      <c r="K220" s="44">
        <f>'Data Sheet'!L220</f>
        <v>0</v>
      </c>
      <c r="L220" s="44">
        <f>'Data Sheet'!M220</f>
        <v>0</v>
      </c>
      <c r="M220" s="5"/>
      <c r="N220" s="44">
        <f>'Data Sheet'!O220</f>
        <v>0</v>
      </c>
      <c r="O220" s="44">
        <f>'Data Sheet'!P220</f>
        <v>0</v>
      </c>
      <c r="P220" s="44">
        <f>'Data Sheet'!Q220</f>
        <v>0</v>
      </c>
      <c r="Q220" s="44">
        <f>'Data Sheet'!R220</f>
        <v>0</v>
      </c>
      <c r="R220" s="44">
        <f>'Data Sheet'!S220</f>
        <v>0</v>
      </c>
      <c r="S220" s="44">
        <f>'Data Sheet'!T220</f>
        <v>0</v>
      </c>
      <c r="T220" s="44">
        <f>'Data Sheet'!U220</f>
        <v>0</v>
      </c>
      <c r="U220" s="44">
        <f>'Data Sheet'!V220</f>
        <v>0</v>
      </c>
      <c r="V220" s="5"/>
      <c r="W220" s="16" t="str">
        <f t="shared" si="35"/>
        <v/>
      </c>
      <c r="X220" s="10">
        <v>0</v>
      </c>
      <c r="Y220" s="11">
        <v>0</v>
      </c>
      <c r="Z220" s="11">
        <v>0</v>
      </c>
      <c r="AA220" s="11">
        <v>0</v>
      </c>
      <c r="AB220" s="11">
        <v>0</v>
      </c>
      <c r="AC220" s="11">
        <v>0</v>
      </c>
      <c r="AD220" s="11">
        <v>0</v>
      </c>
      <c r="AE220" s="12">
        <v>0</v>
      </c>
      <c r="AG220" s="45">
        <f t="shared" si="38"/>
        <v>0</v>
      </c>
      <c r="AH220" s="45">
        <f t="shared" si="46"/>
        <v>0</v>
      </c>
      <c r="AI220" s="45">
        <f t="shared" si="39"/>
        <v>0</v>
      </c>
      <c r="AJ220" s="45">
        <f t="shared" si="40"/>
        <v>0</v>
      </c>
      <c r="AK220" s="45">
        <f t="shared" si="37"/>
        <v>0</v>
      </c>
      <c r="AL220" s="1">
        <f t="shared" si="45"/>
        <v>0</v>
      </c>
      <c r="AM220" s="1">
        <f t="shared" si="41"/>
        <v>0</v>
      </c>
      <c r="AO220" s="45">
        <f t="shared" si="42"/>
        <v>0</v>
      </c>
      <c r="AP220" s="45">
        <f t="shared" si="43"/>
        <v>0</v>
      </c>
      <c r="AQ220" s="45">
        <f t="shared" si="44"/>
        <v>0</v>
      </c>
    </row>
    <row r="221" spans="1:43" ht="15" thickTop="1" thickBot="1" x14ac:dyDescent="0.5">
      <c r="A221" s="68" t="str">
        <f>IF(ISTEXT('Data Sheet'!B221),'Data Sheet'!B221&amp;" "&amp;'Data Sheet'!A221,"")</f>
        <v/>
      </c>
      <c r="B221" s="70">
        <f>'Data Sheet'!C221</f>
        <v>218</v>
      </c>
      <c r="C221" s="38"/>
      <c r="D221" s="44">
        <f>'Data Sheet'!E221</f>
        <v>0</v>
      </c>
      <c r="E221" s="44">
        <f>'Data Sheet'!F221</f>
        <v>0</v>
      </c>
      <c r="F221" s="44">
        <f>'Data Sheet'!G221</f>
        <v>0</v>
      </c>
      <c r="G221" s="44">
        <f>'Data Sheet'!H221</f>
        <v>0</v>
      </c>
      <c r="H221" s="44">
        <f>'Data Sheet'!I221</f>
        <v>0</v>
      </c>
      <c r="I221" s="44">
        <f>'Data Sheet'!J221</f>
        <v>0</v>
      </c>
      <c r="J221" s="44">
        <f>'Data Sheet'!K221</f>
        <v>0</v>
      </c>
      <c r="K221" s="44">
        <f>'Data Sheet'!L221</f>
        <v>0</v>
      </c>
      <c r="L221" s="44">
        <f>'Data Sheet'!M221</f>
        <v>0</v>
      </c>
      <c r="M221" s="5"/>
      <c r="N221" s="44">
        <f>'Data Sheet'!O221</f>
        <v>0</v>
      </c>
      <c r="O221" s="44">
        <f>'Data Sheet'!P221</f>
        <v>0</v>
      </c>
      <c r="P221" s="44">
        <f>'Data Sheet'!Q221</f>
        <v>0</v>
      </c>
      <c r="Q221" s="44">
        <f>'Data Sheet'!R221</f>
        <v>0</v>
      </c>
      <c r="R221" s="44">
        <f>'Data Sheet'!S221</f>
        <v>0</v>
      </c>
      <c r="S221" s="44">
        <f>'Data Sheet'!T221</f>
        <v>0</v>
      </c>
      <c r="T221" s="44">
        <f>'Data Sheet'!U221</f>
        <v>0</v>
      </c>
      <c r="U221" s="44">
        <f>'Data Sheet'!V221</f>
        <v>0</v>
      </c>
      <c r="V221" s="5"/>
      <c r="W221" s="16" t="str">
        <f t="shared" si="35"/>
        <v/>
      </c>
      <c r="X221" s="10">
        <v>0</v>
      </c>
      <c r="Y221" s="11">
        <v>0</v>
      </c>
      <c r="Z221" s="11">
        <v>0</v>
      </c>
      <c r="AA221" s="11">
        <v>0</v>
      </c>
      <c r="AB221" s="11">
        <v>0</v>
      </c>
      <c r="AC221" s="11">
        <v>0</v>
      </c>
      <c r="AD221" s="11">
        <v>0</v>
      </c>
      <c r="AE221" s="12">
        <v>0</v>
      </c>
      <c r="AG221" s="45">
        <f t="shared" si="38"/>
        <v>0</v>
      </c>
      <c r="AH221" s="45">
        <f t="shared" si="46"/>
        <v>0</v>
      </c>
      <c r="AI221" s="45">
        <f t="shared" si="39"/>
        <v>0</v>
      </c>
      <c r="AJ221" s="45">
        <f t="shared" si="40"/>
        <v>0</v>
      </c>
      <c r="AK221" s="45">
        <f t="shared" si="37"/>
        <v>0</v>
      </c>
      <c r="AL221" s="1">
        <f t="shared" si="45"/>
        <v>0</v>
      </c>
      <c r="AM221" s="1">
        <f t="shared" si="41"/>
        <v>0</v>
      </c>
      <c r="AO221" s="45">
        <f t="shared" si="42"/>
        <v>0</v>
      </c>
      <c r="AP221" s="45">
        <f t="shared" si="43"/>
        <v>0</v>
      </c>
      <c r="AQ221" s="45">
        <f t="shared" si="44"/>
        <v>0</v>
      </c>
    </row>
    <row r="222" spans="1:43" ht="15" thickTop="1" thickBot="1" x14ac:dyDescent="0.5">
      <c r="A222" s="68" t="str">
        <f>IF(ISTEXT('Data Sheet'!B222),'Data Sheet'!B222&amp;" "&amp;'Data Sheet'!A222,"")</f>
        <v/>
      </c>
      <c r="B222" s="70">
        <f>'Data Sheet'!C222</f>
        <v>219</v>
      </c>
      <c r="C222" s="38"/>
      <c r="D222" s="44">
        <f>'Data Sheet'!E222</f>
        <v>0</v>
      </c>
      <c r="E222" s="44">
        <f>'Data Sheet'!F222</f>
        <v>0</v>
      </c>
      <c r="F222" s="44">
        <f>'Data Sheet'!G222</f>
        <v>0</v>
      </c>
      <c r="G222" s="44">
        <f>'Data Sheet'!H222</f>
        <v>0</v>
      </c>
      <c r="H222" s="44">
        <f>'Data Sheet'!I222</f>
        <v>0</v>
      </c>
      <c r="I222" s="44">
        <f>'Data Sheet'!J222</f>
        <v>0</v>
      </c>
      <c r="J222" s="44">
        <f>'Data Sheet'!K222</f>
        <v>0</v>
      </c>
      <c r="K222" s="44">
        <f>'Data Sheet'!L222</f>
        <v>0</v>
      </c>
      <c r="L222" s="44">
        <f>'Data Sheet'!M222</f>
        <v>0</v>
      </c>
      <c r="M222" s="5"/>
      <c r="N222" s="44">
        <f>'Data Sheet'!O222</f>
        <v>0</v>
      </c>
      <c r="O222" s="44">
        <f>'Data Sheet'!P222</f>
        <v>0</v>
      </c>
      <c r="P222" s="44">
        <f>'Data Sheet'!Q222</f>
        <v>0</v>
      </c>
      <c r="Q222" s="44">
        <f>'Data Sheet'!R222</f>
        <v>0</v>
      </c>
      <c r="R222" s="44">
        <f>'Data Sheet'!S222</f>
        <v>0</v>
      </c>
      <c r="S222" s="44">
        <f>'Data Sheet'!T222</f>
        <v>0</v>
      </c>
      <c r="T222" s="44">
        <f>'Data Sheet'!U222</f>
        <v>0</v>
      </c>
      <c r="U222" s="44">
        <f>'Data Sheet'!V222</f>
        <v>0</v>
      </c>
      <c r="V222" s="5"/>
      <c r="W222" s="16" t="str">
        <f t="shared" si="35"/>
        <v/>
      </c>
      <c r="X222" s="10">
        <v>0</v>
      </c>
      <c r="Y222" s="11">
        <v>0</v>
      </c>
      <c r="Z222" s="11">
        <v>0</v>
      </c>
      <c r="AA222" s="11">
        <v>0</v>
      </c>
      <c r="AB222" s="11">
        <v>0</v>
      </c>
      <c r="AC222" s="11">
        <v>0</v>
      </c>
      <c r="AD222" s="11">
        <v>0</v>
      </c>
      <c r="AE222" s="12">
        <v>0</v>
      </c>
      <c r="AG222" s="45">
        <f t="shared" si="38"/>
        <v>0</v>
      </c>
      <c r="AH222" s="45">
        <f t="shared" si="46"/>
        <v>0</v>
      </c>
      <c r="AI222" s="45">
        <f t="shared" si="39"/>
        <v>0</v>
      </c>
      <c r="AJ222" s="45">
        <f t="shared" si="40"/>
        <v>0</v>
      </c>
      <c r="AK222" s="45">
        <f>SUMPRODUCT(X222:AE222,N222:U222)</f>
        <v>0</v>
      </c>
      <c r="AL222" s="1">
        <f t="shared" si="45"/>
        <v>0</v>
      </c>
      <c r="AM222" s="1">
        <f t="shared" si="41"/>
        <v>0</v>
      </c>
      <c r="AO222" s="45">
        <f t="shared" si="42"/>
        <v>0</v>
      </c>
      <c r="AP222" s="45">
        <f t="shared" si="43"/>
        <v>0</v>
      </c>
      <c r="AQ222" s="45">
        <f t="shared" si="44"/>
        <v>0</v>
      </c>
    </row>
    <row r="223" spans="1:43" ht="15" thickTop="1" thickBot="1" x14ac:dyDescent="0.5">
      <c r="A223" s="68" t="str">
        <f>IF(ISTEXT('Data Sheet'!B223),'Data Sheet'!B223&amp;" "&amp;'Data Sheet'!A223,"")</f>
        <v/>
      </c>
      <c r="B223" s="71">
        <f>'Data Sheet'!C223</f>
        <v>220</v>
      </c>
      <c r="C223" s="38"/>
      <c r="D223" s="44">
        <f>'Data Sheet'!E223</f>
        <v>0</v>
      </c>
      <c r="E223" s="44">
        <f>'Data Sheet'!F223</f>
        <v>0</v>
      </c>
      <c r="F223" s="44">
        <f>'Data Sheet'!G223</f>
        <v>0</v>
      </c>
      <c r="G223" s="44">
        <f>'Data Sheet'!H223</f>
        <v>0</v>
      </c>
      <c r="H223" s="44">
        <f>'Data Sheet'!I223</f>
        <v>0</v>
      </c>
      <c r="I223" s="44">
        <f>'Data Sheet'!J223</f>
        <v>0</v>
      </c>
      <c r="J223" s="44">
        <f>'Data Sheet'!K223</f>
        <v>0</v>
      </c>
      <c r="K223" s="44">
        <f>'Data Sheet'!L223</f>
        <v>0</v>
      </c>
      <c r="L223" s="44">
        <f>'Data Sheet'!M223</f>
        <v>0</v>
      </c>
      <c r="M223" s="6"/>
      <c r="N223" s="44">
        <f>'Data Sheet'!O223</f>
        <v>0</v>
      </c>
      <c r="O223" s="44">
        <f>'Data Sheet'!P223</f>
        <v>0</v>
      </c>
      <c r="P223" s="44">
        <f>'Data Sheet'!Q223</f>
        <v>0</v>
      </c>
      <c r="Q223" s="44">
        <f>'Data Sheet'!R223</f>
        <v>0</v>
      </c>
      <c r="R223" s="44">
        <f>'Data Sheet'!S223</f>
        <v>0</v>
      </c>
      <c r="S223" s="44">
        <f>'Data Sheet'!T223</f>
        <v>0</v>
      </c>
      <c r="T223" s="44">
        <f>'Data Sheet'!U223</f>
        <v>0</v>
      </c>
      <c r="U223" s="44">
        <f>'Data Sheet'!V223</f>
        <v>0</v>
      </c>
      <c r="V223" s="6"/>
      <c r="W223" s="16" t="str">
        <f t="shared" si="35"/>
        <v/>
      </c>
      <c r="X223" s="13">
        <v>0</v>
      </c>
      <c r="Y223" s="14">
        <v>0</v>
      </c>
      <c r="Z223" s="14">
        <v>0</v>
      </c>
      <c r="AA223" s="14">
        <v>0</v>
      </c>
      <c r="AB223" s="14">
        <v>0</v>
      </c>
      <c r="AC223" s="14">
        <v>0</v>
      </c>
      <c r="AD223" s="14">
        <v>0</v>
      </c>
      <c r="AE223" s="15">
        <v>0</v>
      </c>
      <c r="AG223" s="46">
        <f t="shared" si="38"/>
        <v>0</v>
      </c>
      <c r="AH223" s="46">
        <f t="shared" si="46"/>
        <v>0</v>
      </c>
      <c r="AI223" s="46">
        <f t="shared" si="39"/>
        <v>0</v>
      </c>
      <c r="AJ223" s="45">
        <f t="shared" si="40"/>
        <v>0</v>
      </c>
      <c r="AK223" s="46">
        <f t="shared" si="37"/>
        <v>0</v>
      </c>
      <c r="AL223" s="1">
        <f t="shared" si="45"/>
        <v>0</v>
      </c>
      <c r="AM223" s="1">
        <f t="shared" si="41"/>
        <v>0</v>
      </c>
      <c r="AO223" s="45">
        <f t="shared" si="42"/>
        <v>0</v>
      </c>
      <c r="AP223" s="45">
        <f t="shared" si="43"/>
        <v>0</v>
      </c>
      <c r="AQ223" s="45">
        <f t="shared" si="44"/>
        <v>0</v>
      </c>
    </row>
    <row r="224" spans="1:43" ht="14.65" thickBot="1" x14ac:dyDescent="0.5">
      <c r="C224" s="47" t="s">
        <v>15</v>
      </c>
      <c r="D224" s="2">
        <f t="shared" ref="D224:L224" si="47">SUM(D4:D223)</f>
        <v>75</v>
      </c>
      <c r="E224" s="2">
        <f t="shared" si="47"/>
        <v>85</v>
      </c>
      <c r="F224" s="2">
        <f t="shared" si="47"/>
        <v>366</v>
      </c>
      <c r="G224" s="2">
        <f t="shared" si="47"/>
        <v>519</v>
      </c>
      <c r="H224" s="2">
        <f t="shared" si="47"/>
        <v>19</v>
      </c>
      <c r="I224" s="2">
        <f t="shared" si="47"/>
        <v>17</v>
      </c>
      <c r="J224" s="2">
        <f t="shared" si="47"/>
        <v>1</v>
      </c>
      <c r="K224" s="2">
        <f t="shared" si="47"/>
        <v>0</v>
      </c>
      <c r="L224" s="2">
        <f t="shared" si="47"/>
        <v>0</v>
      </c>
      <c r="AG224" s="19" t="s">
        <v>81</v>
      </c>
      <c r="AH224" s="45">
        <f>SUM(AH4:AH223)</f>
        <v>150</v>
      </c>
      <c r="AJ224" s="19" t="s">
        <v>15</v>
      </c>
      <c r="AK224" s="52">
        <f>SUM(AK4:AK223)</f>
        <v>42</v>
      </c>
      <c r="AM224" s="1">
        <f>SUM(AM4:AM223)</f>
        <v>0</v>
      </c>
    </row>
    <row r="225" spans="3:39" ht="14.65" thickBot="1" x14ac:dyDescent="0.5">
      <c r="C225" s="47" t="s">
        <v>85</v>
      </c>
      <c r="D225" s="107">
        <f>D224/$AH$224</f>
        <v>0.5</v>
      </c>
      <c r="E225" s="107">
        <f>E224/$AH$224</f>
        <v>0.56666666666666665</v>
      </c>
      <c r="H225" s="107">
        <f>H224/$AH$224</f>
        <v>0.12666666666666668</v>
      </c>
      <c r="I225" s="107">
        <f>I224/$AH$224</f>
        <v>0.11333333333333333</v>
      </c>
      <c r="J225" s="107">
        <f>J224/$AH$224</f>
        <v>6.6666666666666671E-3</v>
      </c>
      <c r="N225" s="63" t="s">
        <v>95</v>
      </c>
      <c r="AM225" s="1"/>
    </row>
    <row r="226" spans="3:39" ht="14.65" thickBot="1" x14ac:dyDescent="0.5">
      <c r="C226" s="47" t="s">
        <v>82</v>
      </c>
      <c r="F226" s="107">
        <f>F224/$AF$3</f>
        <v>45.75</v>
      </c>
      <c r="G226" s="107">
        <f>G224/$AF$3</f>
        <v>64.875</v>
      </c>
      <c r="K226" s="107">
        <f>K224/$AF$3</f>
        <v>0</v>
      </c>
      <c r="L226" s="107">
        <f>L224/$AF$3</f>
        <v>0</v>
      </c>
      <c r="N226" s="62">
        <f>SUM(N4:U223)</f>
        <v>39</v>
      </c>
      <c r="AM226" s="1"/>
    </row>
    <row r="227" spans="3:39" ht="14.65" thickBot="1" x14ac:dyDescent="0.5">
      <c r="C227" s="109" t="s">
        <v>83</v>
      </c>
      <c r="I227" s="107">
        <f>I224/COUNTIF($N$3:$U$3,"IEP")</f>
        <v>2.4285714285714284</v>
      </c>
      <c r="J227" s="107">
        <f>J224/COUNTIF($N$3:$U$3,"GIEP")</f>
        <v>1</v>
      </c>
      <c r="W227" s="94" t="s">
        <v>10</v>
      </c>
      <c r="X227" s="91">
        <f t="shared" ref="X227:AE227" si="48">SUM(X4:X223)</f>
        <v>18</v>
      </c>
      <c r="Y227" s="91">
        <f t="shared" si="48"/>
        <v>19</v>
      </c>
      <c r="Z227" s="91">
        <f t="shared" si="48"/>
        <v>19</v>
      </c>
      <c r="AA227" s="91">
        <f t="shared" si="48"/>
        <v>18</v>
      </c>
      <c r="AB227" s="91">
        <f t="shared" si="48"/>
        <v>19</v>
      </c>
      <c r="AC227" s="91">
        <f t="shared" si="48"/>
        <v>19</v>
      </c>
      <c r="AD227" s="91">
        <f t="shared" si="48"/>
        <v>19</v>
      </c>
      <c r="AE227" s="91">
        <f t="shared" si="48"/>
        <v>19</v>
      </c>
    </row>
    <row r="228" spans="3:39" ht="14.65" thickBot="1" x14ac:dyDescent="0.5">
      <c r="W228" s="95" t="s">
        <v>16</v>
      </c>
      <c r="X228" s="75">
        <f>$AH$224/$AF$3</f>
        <v>18.75</v>
      </c>
      <c r="Y228" s="54">
        <f t="shared" ref="Y228:AD228" si="49">$AH$224/$AF$3</f>
        <v>18.75</v>
      </c>
      <c r="Z228" s="54">
        <f t="shared" si="49"/>
        <v>18.75</v>
      </c>
      <c r="AA228" s="54">
        <f t="shared" si="49"/>
        <v>18.75</v>
      </c>
      <c r="AB228" s="54">
        <f t="shared" si="49"/>
        <v>18.75</v>
      </c>
      <c r="AC228" s="54">
        <f t="shared" si="49"/>
        <v>18.75</v>
      </c>
      <c r="AD228" s="54">
        <f t="shared" si="49"/>
        <v>18.75</v>
      </c>
      <c r="AE228" s="55">
        <f>$AH$224/$AF$3</f>
        <v>18.75</v>
      </c>
    </row>
    <row r="229" spans="3:39" ht="14.65" thickBot="1" x14ac:dyDescent="0.5">
      <c r="C229" s="47" t="s">
        <v>84</v>
      </c>
      <c r="D229" s="3">
        <v>0.1</v>
      </c>
      <c r="E229" s="3">
        <v>0.1</v>
      </c>
      <c r="F229" s="3">
        <v>0.1</v>
      </c>
      <c r="G229" s="3">
        <v>0.1</v>
      </c>
      <c r="H229" s="3">
        <v>0.1</v>
      </c>
      <c r="I229" s="3">
        <v>0.2</v>
      </c>
      <c r="J229" s="3">
        <v>0.2</v>
      </c>
      <c r="K229" s="3">
        <v>0.1</v>
      </c>
      <c r="L229" s="3">
        <v>0.1</v>
      </c>
      <c r="M229" s="1"/>
      <c r="W229" s="96"/>
    </row>
    <row r="230" spans="3:39" x14ac:dyDescent="0.45">
      <c r="W230" s="94" t="s">
        <v>71</v>
      </c>
      <c r="X230" s="91">
        <f>SUMPRODUCT(X4:X223,$E$4:$E$223)</f>
        <v>10</v>
      </c>
      <c r="Y230" s="91">
        <f t="shared" ref="Y230:AE230" si="50">SUMPRODUCT(Y4:Y223,$E$4:$E$223)</f>
        <v>10</v>
      </c>
      <c r="Z230" s="91">
        <f t="shared" si="50"/>
        <v>11</v>
      </c>
      <c r="AA230" s="91">
        <f t="shared" si="50"/>
        <v>10</v>
      </c>
      <c r="AB230" s="91">
        <f t="shared" si="50"/>
        <v>11</v>
      </c>
      <c r="AC230" s="91">
        <f t="shared" si="50"/>
        <v>11</v>
      </c>
      <c r="AD230" s="91">
        <f t="shared" si="50"/>
        <v>11</v>
      </c>
      <c r="AE230" s="91">
        <f t="shared" si="50"/>
        <v>11</v>
      </c>
    </row>
    <row r="231" spans="3:39" ht="14.65" thickBot="1" x14ac:dyDescent="0.5">
      <c r="W231" s="97" t="s">
        <v>72</v>
      </c>
      <c r="X231" s="74">
        <f>$E$224/$AF$3</f>
        <v>10.625</v>
      </c>
      <c r="Y231" s="74">
        <f t="shared" ref="Y231:AE231" si="51">$E$224/$AF$3</f>
        <v>10.625</v>
      </c>
      <c r="Z231" s="74">
        <f t="shared" si="51"/>
        <v>10.625</v>
      </c>
      <c r="AA231" s="74">
        <f t="shared" si="51"/>
        <v>10.625</v>
      </c>
      <c r="AB231" s="74">
        <f t="shared" si="51"/>
        <v>10.625</v>
      </c>
      <c r="AC231" s="74">
        <f t="shared" si="51"/>
        <v>10.625</v>
      </c>
      <c r="AD231" s="74">
        <f t="shared" si="51"/>
        <v>10.625</v>
      </c>
      <c r="AE231" s="74">
        <f t="shared" si="51"/>
        <v>10.625</v>
      </c>
    </row>
    <row r="232" spans="3:39" ht="14.65" thickBot="1" x14ac:dyDescent="0.5">
      <c r="W232" s="96"/>
    </row>
    <row r="233" spans="3:39" x14ac:dyDescent="0.45">
      <c r="W233" s="94" t="s">
        <v>14</v>
      </c>
      <c r="X233" s="91">
        <f t="shared" ref="X233:AE233" si="52">SUMPRODUCT(X4:X223,$D$4:$D$223)</f>
        <v>9</v>
      </c>
      <c r="Y233" s="91">
        <f t="shared" si="52"/>
        <v>10</v>
      </c>
      <c r="Z233" s="91">
        <f t="shared" si="52"/>
        <v>10</v>
      </c>
      <c r="AA233" s="91">
        <f t="shared" si="52"/>
        <v>9</v>
      </c>
      <c r="AB233" s="91">
        <f t="shared" si="52"/>
        <v>9</v>
      </c>
      <c r="AC233" s="91">
        <f t="shared" si="52"/>
        <v>9</v>
      </c>
      <c r="AD233" s="91">
        <f t="shared" si="52"/>
        <v>10</v>
      </c>
      <c r="AE233" s="91">
        <f t="shared" si="52"/>
        <v>9</v>
      </c>
    </row>
    <row r="234" spans="3:39" ht="14.65" thickBot="1" x14ac:dyDescent="0.5">
      <c r="W234" s="97" t="s">
        <v>17</v>
      </c>
      <c r="X234" s="74">
        <f>$D$224/$AF$3</f>
        <v>9.375</v>
      </c>
      <c r="Y234" s="56">
        <f t="shared" ref="Y234:AE234" si="53">$D$224/$AF$3</f>
        <v>9.375</v>
      </c>
      <c r="Z234" s="56">
        <f t="shared" si="53"/>
        <v>9.375</v>
      </c>
      <c r="AA234" s="56">
        <f t="shared" si="53"/>
        <v>9.375</v>
      </c>
      <c r="AB234" s="56">
        <f t="shared" si="53"/>
        <v>9.375</v>
      </c>
      <c r="AC234" s="56">
        <f t="shared" si="53"/>
        <v>9.375</v>
      </c>
      <c r="AD234" s="56">
        <f t="shared" si="53"/>
        <v>9.375</v>
      </c>
      <c r="AE234" s="57">
        <f t="shared" si="53"/>
        <v>9.375</v>
      </c>
    </row>
    <row r="235" spans="3:39" ht="14.65" thickBot="1" x14ac:dyDescent="0.5">
      <c r="W235" s="96"/>
    </row>
    <row r="236" spans="3:39" x14ac:dyDescent="0.45">
      <c r="W236" s="94" t="s">
        <v>48</v>
      </c>
      <c r="X236" s="91">
        <f>SUMPRODUCT(X$4:X$223,$F$4:$F$223)</f>
        <v>45</v>
      </c>
      <c r="Y236" s="91">
        <f t="shared" ref="Y236:AE236" si="54">SUMPRODUCT(Y$4:Y$223,$F$4:$F$223)</f>
        <v>46</v>
      </c>
      <c r="Z236" s="91">
        <f t="shared" si="54"/>
        <v>46</v>
      </c>
      <c r="AA236" s="91">
        <f t="shared" si="54"/>
        <v>46</v>
      </c>
      <c r="AB236" s="91">
        <f t="shared" si="54"/>
        <v>46</v>
      </c>
      <c r="AC236" s="91">
        <f t="shared" si="54"/>
        <v>46</v>
      </c>
      <c r="AD236" s="91">
        <f t="shared" si="54"/>
        <v>45</v>
      </c>
      <c r="AE236" s="91">
        <f t="shared" si="54"/>
        <v>46</v>
      </c>
    </row>
    <row r="237" spans="3:39" ht="14.65" thickBot="1" x14ac:dyDescent="0.5">
      <c r="W237" s="97" t="s">
        <v>49</v>
      </c>
      <c r="X237" s="74">
        <f t="shared" ref="X237:AE237" si="55">$F$224/$AF$3</f>
        <v>45.75</v>
      </c>
      <c r="Y237" s="54">
        <f t="shared" si="55"/>
        <v>45.75</v>
      </c>
      <c r="Z237" s="54">
        <f t="shared" si="55"/>
        <v>45.75</v>
      </c>
      <c r="AA237" s="54">
        <f t="shared" si="55"/>
        <v>45.75</v>
      </c>
      <c r="AB237" s="54">
        <f t="shared" si="55"/>
        <v>45.75</v>
      </c>
      <c r="AC237" s="54">
        <f t="shared" si="55"/>
        <v>45.75</v>
      </c>
      <c r="AD237" s="54">
        <f t="shared" si="55"/>
        <v>45.75</v>
      </c>
      <c r="AE237" s="55">
        <f t="shared" si="55"/>
        <v>45.75</v>
      </c>
    </row>
    <row r="238" spans="3:39" ht="14.65" thickBot="1" x14ac:dyDescent="0.5">
      <c r="W238" s="96"/>
    </row>
    <row r="239" spans="3:39" x14ac:dyDescent="0.45">
      <c r="W239" s="94" t="s">
        <v>13</v>
      </c>
      <c r="X239" s="91">
        <f t="shared" ref="X239:AE239" si="56">SUMPRODUCT(X$4:X$223,$G$4:$G$223)</f>
        <v>64</v>
      </c>
      <c r="Y239" s="91">
        <f t="shared" si="56"/>
        <v>64</v>
      </c>
      <c r="Z239" s="91">
        <f t="shared" si="56"/>
        <v>66</v>
      </c>
      <c r="AA239" s="91">
        <f t="shared" si="56"/>
        <v>64</v>
      </c>
      <c r="AB239" s="91">
        <f t="shared" si="56"/>
        <v>65</v>
      </c>
      <c r="AC239" s="91">
        <f t="shared" si="56"/>
        <v>66</v>
      </c>
      <c r="AD239" s="91">
        <f t="shared" si="56"/>
        <v>65</v>
      </c>
      <c r="AE239" s="91">
        <f t="shared" si="56"/>
        <v>65</v>
      </c>
    </row>
    <row r="240" spans="3:39" ht="14.65" thickBot="1" x14ac:dyDescent="0.5">
      <c r="W240" s="97" t="s">
        <v>18</v>
      </c>
      <c r="X240" s="74">
        <f t="shared" ref="X240:AE240" si="57">$G$224/$AF$3</f>
        <v>64.875</v>
      </c>
      <c r="Y240" s="54">
        <f t="shared" si="57"/>
        <v>64.875</v>
      </c>
      <c r="Z240" s="54">
        <f t="shared" si="57"/>
        <v>64.875</v>
      </c>
      <c r="AA240" s="54">
        <f t="shared" si="57"/>
        <v>64.875</v>
      </c>
      <c r="AB240" s="54">
        <f t="shared" si="57"/>
        <v>64.875</v>
      </c>
      <c r="AC240" s="54">
        <f t="shared" si="57"/>
        <v>64.875</v>
      </c>
      <c r="AD240" s="54">
        <f t="shared" si="57"/>
        <v>64.875</v>
      </c>
      <c r="AE240" s="55">
        <f t="shared" si="57"/>
        <v>64.875</v>
      </c>
    </row>
    <row r="241" spans="23:31" ht="14.65" thickBot="1" x14ac:dyDescent="0.5">
      <c r="W241" s="96"/>
    </row>
    <row r="242" spans="23:31" x14ac:dyDescent="0.45">
      <c r="W242" s="102" t="s">
        <v>31</v>
      </c>
      <c r="X242" s="90">
        <f t="shared" ref="X242:AE242" si="58">SUMIF($W$4:$W$223,"IEP",X$4:X$223)</f>
        <v>1</v>
      </c>
      <c r="Y242" s="90">
        <f t="shared" si="58"/>
        <v>1</v>
      </c>
      <c r="Z242" s="90">
        <f t="shared" si="58"/>
        <v>2</v>
      </c>
      <c r="AA242" s="90">
        <f t="shared" si="58"/>
        <v>3</v>
      </c>
      <c r="AB242" s="90">
        <f t="shared" si="58"/>
        <v>2</v>
      </c>
      <c r="AC242" s="90">
        <f t="shared" si="58"/>
        <v>4</v>
      </c>
      <c r="AD242" s="90">
        <f t="shared" si="58"/>
        <v>4</v>
      </c>
      <c r="AE242" s="90">
        <f t="shared" si="58"/>
        <v>0</v>
      </c>
    </row>
    <row r="243" spans="23:31" ht="14.65" thickBot="1" x14ac:dyDescent="0.5">
      <c r="W243" s="97" t="s">
        <v>46</v>
      </c>
      <c r="X243" s="74">
        <f t="shared" ref="X243:AE243" si="59">IF(X3="IEP",$I$224/COUNTIF($X$3:$AE$3,"IEP"),0)</f>
        <v>2.4285714285714284</v>
      </c>
      <c r="Y243" s="74">
        <f t="shared" si="59"/>
        <v>2.4285714285714284</v>
      </c>
      <c r="Z243" s="74">
        <f t="shared" si="59"/>
        <v>2.4285714285714284</v>
      </c>
      <c r="AA243" s="74">
        <f t="shared" si="59"/>
        <v>2.4285714285714284</v>
      </c>
      <c r="AB243" s="74">
        <f t="shared" si="59"/>
        <v>2.4285714285714284</v>
      </c>
      <c r="AC243" s="74">
        <f t="shared" si="59"/>
        <v>2.4285714285714284</v>
      </c>
      <c r="AD243" s="74">
        <f t="shared" si="59"/>
        <v>2.4285714285714284</v>
      </c>
      <c r="AE243" s="74">
        <f t="shared" si="59"/>
        <v>0</v>
      </c>
    </row>
    <row r="244" spans="23:31" x14ac:dyDescent="0.45">
      <c r="W244" s="103" t="s">
        <v>44</v>
      </c>
      <c r="X244" s="61">
        <f t="shared" ref="X244:AE244" si="60">IF(X3="IEP",$AG$242,0)</f>
        <v>0</v>
      </c>
      <c r="Y244" s="61">
        <f t="shared" si="60"/>
        <v>0</v>
      </c>
      <c r="Z244" s="61">
        <f t="shared" si="60"/>
        <v>0</v>
      </c>
      <c r="AA244" s="61">
        <f t="shared" si="60"/>
        <v>0</v>
      </c>
      <c r="AB244" s="61">
        <f t="shared" si="60"/>
        <v>0</v>
      </c>
      <c r="AC244" s="61">
        <f t="shared" si="60"/>
        <v>0</v>
      </c>
      <c r="AD244" s="61">
        <f t="shared" si="60"/>
        <v>0</v>
      </c>
      <c r="AE244" s="61">
        <f t="shared" si="60"/>
        <v>0</v>
      </c>
    </row>
    <row r="245" spans="23:31" x14ac:dyDescent="0.45">
      <c r="W245" s="104" t="s">
        <v>45</v>
      </c>
      <c r="X245" s="61">
        <f t="shared" ref="X245:AE245" si="61">IF(X$3="IEP",$AG$243,0)</f>
        <v>0</v>
      </c>
      <c r="Y245" s="61">
        <f t="shared" si="61"/>
        <v>0</v>
      </c>
      <c r="Z245" s="61">
        <f t="shared" si="61"/>
        <v>0</v>
      </c>
      <c r="AA245" s="61">
        <f t="shared" si="61"/>
        <v>0</v>
      </c>
      <c r="AB245" s="61">
        <f t="shared" si="61"/>
        <v>0</v>
      </c>
      <c r="AC245" s="61">
        <f t="shared" si="61"/>
        <v>0</v>
      </c>
      <c r="AD245" s="61">
        <f t="shared" si="61"/>
        <v>0</v>
      </c>
      <c r="AE245" s="61">
        <f t="shared" si="61"/>
        <v>0</v>
      </c>
    </row>
    <row r="246" spans="23:31" x14ac:dyDescent="0.45">
      <c r="W246" s="96"/>
    </row>
    <row r="247" spans="23:31" ht="14.65" thickBot="1" x14ac:dyDescent="0.5">
      <c r="W247" s="105" t="s">
        <v>32</v>
      </c>
      <c r="X247" s="90">
        <f>SUMIF($W$4:$W$223,"GIEP",X$4:X$223)</f>
        <v>0</v>
      </c>
      <c r="Y247" s="90">
        <f t="shared" ref="Y247:AE247" si="62">SUMIF($W$4:$W$223,"GIEP",Y$4:Y$223)</f>
        <v>0</v>
      </c>
      <c r="Z247" s="90">
        <f t="shared" si="62"/>
        <v>0</v>
      </c>
      <c r="AA247" s="90">
        <f t="shared" si="62"/>
        <v>0</v>
      </c>
      <c r="AB247" s="90">
        <f t="shared" si="62"/>
        <v>0</v>
      </c>
      <c r="AC247" s="90">
        <f t="shared" si="62"/>
        <v>0</v>
      </c>
      <c r="AD247" s="90">
        <f t="shared" si="62"/>
        <v>0</v>
      </c>
      <c r="AE247" s="90">
        <f t="shared" si="62"/>
        <v>1</v>
      </c>
    </row>
    <row r="248" spans="23:31" ht="14.65" thickBot="1" x14ac:dyDescent="0.5">
      <c r="W248" s="97" t="s">
        <v>47</v>
      </c>
      <c r="X248" s="74">
        <f t="shared" ref="X248:AE248" si="63">IF(X3="GIEP",$J$224/COUNTIF($X$3:$AE$3,"GIEP"),0)</f>
        <v>0</v>
      </c>
      <c r="Y248" s="74">
        <f t="shared" si="63"/>
        <v>0</v>
      </c>
      <c r="Z248" s="74">
        <f t="shared" si="63"/>
        <v>0</v>
      </c>
      <c r="AA248" s="74">
        <f t="shared" si="63"/>
        <v>0</v>
      </c>
      <c r="AB248" s="74">
        <f t="shared" si="63"/>
        <v>0</v>
      </c>
      <c r="AC248" s="74">
        <f t="shared" si="63"/>
        <v>0</v>
      </c>
      <c r="AD248" s="74">
        <f t="shared" si="63"/>
        <v>0</v>
      </c>
      <c r="AE248" s="74">
        <f t="shared" si="63"/>
        <v>1</v>
      </c>
    </row>
    <row r="249" spans="23:31" x14ac:dyDescent="0.45">
      <c r="W249" s="103" t="s">
        <v>42</v>
      </c>
      <c r="X249" s="61">
        <f t="shared" ref="X249:AE249" si="64">IF(X$3="GIEP",$AG$247,0)</f>
        <v>0</v>
      </c>
      <c r="Y249" s="61">
        <f t="shared" si="64"/>
        <v>0</v>
      </c>
      <c r="Z249" s="61">
        <f t="shared" si="64"/>
        <v>0</v>
      </c>
      <c r="AA249" s="61">
        <f t="shared" si="64"/>
        <v>0</v>
      </c>
      <c r="AB249" s="61">
        <f t="shared" si="64"/>
        <v>0</v>
      </c>
      <c r="AC249" s="61">
        <f t="shared" si="64"/>
        <v>0</v>
      </c>
      <c r="AD249" s="61">
        <f t="shared" si="64"/>
        <v>0</v>
      </c>
      <c r="AE249" s="61">
        <f t="shared" si="64"/>
        <v>0</v>
      </c>
    </row>
    <row r="250" spans="23:31" x14ac:dyDescent="0.45">
      <c r="W250" s="104" t="s">
        <v>43</v>
      </c>
      <c r="X250" s="61">
        <f t="shared" ref="X250:AE250" si="65">IF(X$3="GIEP",$AG$248,0)</f>
        <v>0</v>
      </c>
      <c r="Y250" s="61">
        <f t="shared" si="65"/>
        <v>0</v>
      </c>
      <c r="Z250" s="61">
        <f t="shared" si="65"/>
        <v>0</v>
      </c>
      <c r="AA250" s="61">
        <f t="shared" si="65"/>
        <v>0</v>
      </c>
      <c r="AB250" s="61">
        <f t="shared" si="65"/>
        <v>0</v>
      </c>
      <c r="AC250" s="61">
        <f t="shared" si="65"/>
        <v>0</v>
      </c>
      <c r="AD250" s="61">
        <f t="shared" si="65"/>
        <v>0</v>
      </c>
      <c r="AE250" s="61">
        <f t="shared" si="65"/>
        <v>0</v>
      </c>
    </row>
    <row r="251" spans="23:31" x14ac:dyDescent="0.45">
      <c r="W251" s="96"/>
    </row>
    <row r="252" spans="23:31" x14ac:dyDescent="0.45">
      <c r="W252" s="106" t="s">
        <v>54</v>
      </c>
      <c r="X252" s="91">
        <f t="shared" ref="X252:AE252" si="66">SUMPRODUCT(ProbStud,X4:X223)</f>
        <v>2</v>
      </c>
      <c r="Y252" s="91">
        <f t="shared" si="66"/>
        <v>2</v>
      </c>
      <c r="Z252" s="91">
        <f t="shared" si="66"/>
        <v>2</v>
      </c>
      <c r="AA252" s="91">
        <f t="shared" si="66"/>
        <v>2</v>
      </c>
      <c r="AB252" s="91">
        <f t="shared" si="66"/>
        <v>3</v>
      </c>
      <c r="AC252" s="91">
        <f t="shared" si="66"/>
        <v>3</v>
      </c>
      <c r="AD252" s="91">
        <f t="shared" si="66"/>
        <v>2</v>
      </c>
      <c r="AE252" s="91">
        <f t="shared" si="66"/>
        <v>3</v>
      </c>
    </row>
    <row r="253" spans="23:31" x14ac:dyDescent="0.45">
      <c r="W253" s="106" t="s">
        <v>57</v>
      </c>
      <c r="X253" s="2">
        <f>$H$224/$AF$3</f>
        <v>2.375</v>
      </c>
      <c r="Y253" s="2">
        <f t="shared" ref="Y253:AE253" si="67">$H$224/$AF$3</f>
        <v>2.375</v>
      </c>
      <c r="Z253" s="2">
        <f t="shared" si="67"/>
        <v>2.375</v>
      </c>
      <c r="AA253" s="2">
        <f t="shared" si="67"/>
        <v>2.375</v>
      </c>
      <c r="AB253" s="2">
        <f t="shared" si="67"/>
        <v>2.375</v>
      </c>
      <c r="AC253" s="2">
        <f t="shared" si="67"/>
        <v>2.375</v>
      </c>
      <c r="AD253" s="2">
        <f t="shared" si="67"/>
        <v>2.375</v>
      </c>
      <c r="AE253" s="2">
        <f t="shared" si="67"/>
        <v>2.375</v>
      </c>
    </row>
    <row r="254" spans="23:31" x14ac:dyDescent="0.45">
      <c r="W254" s="106" t="s">
        <v>55</v>
      </c>
      <c r="X254" s="61">
        <f t="shared" ref="X254:AE254" si="68">$AG$252</f>
        <v>0</v>
      </c>
      <c r="Y254" s="61">
        <f t="shared" si="68"/>
        <v>0</v>
      </c>
      <c r="Z254" s="61">
        <f t="shared" si="68"/>
        <v>0</v>
      </c>
      <c r="AA254" s="61">
        <f t="shared" si="68"/>
        <v>0</v>
      </c>
      <c r="AB254" s="61">
        <f t="shared" si="68"/>
        <v>0</v>
      </c>
      <c r="AC254" s="61">
        <f t="shared" si="68"/>
        <v>0</v>
      </c>
      <c r="AD254" s="61">
        <f t="shared" si="68"/>
        <v>0</v>
      </c>
      <c r="AE254" s="61">
        <f t="shared" si="68"/>
        <v>0</v>
      </c>
    </row>
    <row r="255" spans="23:31" x14ac:dyDescent="0.45">
      <c r="W255" s="106" t="s">
        <v>56</v>
      </c>
      <c r="X255" s="61">
        <f t="shared" ref="X255:AE255" si="69">$AG$253</f>
        <v>0</v>
      </c>
      <c r="Y255" s="61">
        <f t="shared" si="69"/>
        <v>0</v>
      </c>
      <c r="Z255" s="61">
        <f t="shared" si="69"/>
        <v>0</v>
      </c>
      <c r="AA255" s="61">
        <f t="shared" si="69"/>
        <v>0</v>
      </c>
      <c r="AB255" s="61">
        <f t="shared" si="69"/>
        <v>0</v>
      </c>
      <c r="AC255" s="61">
        <f t="shared" si="69"/>
        <v>0</v>
      </c>
      <c r="AD255" s="61">
        <f t="shared" si="69"/>
        <v>0</v>
      </c>
      <c r="AE255" s="61">
        <f t="shared" si="69"/>
        <v>0</v>
      </c>
    </row>
    <row r="256" spans="23:31" x14ac:dyDescent="0.45">
      <c r="W256" s="96"/>
    </row>
    <row r="257" spans="23:31" x14ac:dyDescent="0.45">
      <c r="W257" s="106" t="s">
        <v>64</v>
      </c>
      <c r="X257" s="91">
        <f t="shared" ref="X257:AE257" si="70">SUMPRODUCT(VAMpred,X4:X223)</f>
        <v>0</v>
      </c>
      <c r="Y257" s="91">
        <f t="shared" si="70"/>
        <v>0</v>
      </c>
      <c r="Z257" s="91">
        <f t="shared" si="70"/>
        <v>0</v>
      </c>
      <c r="AA257" s="91">
        <f t="shared" si="70"/>
        <v>0</v>
      </c>
      <c r="AB257" s="91">
        <f t="shared" si="70"/>
        <v>0</v>
      </c>
      <c r="AC257" s="91">
        <f t="shared" si="70"/>
        <v>0</v>
      </c>
      <c r="AD257" s="91">
        <f t="shared" si="70"/>
        <v>0</v>
      </c>
      <c r="AE257" s="91">
        <f t="shared" si="70"/>
        <v>0</v>
      </c>
    </row>
    <row r="258" spans="23:31" x14ac:dyDescent="0.45">
      <c r="W258" s="106" t="s">
        <v>57</v>
      </c>
      <c r="X258" s="2">
        <f>$K$224/$AF$3</f>
        <v>0</v>
      </c>
      <c r="Y258" s="2">
        <f t="shared" ref="Y258:AE258" si="71">$K$224/$AF$3</f>
        <v>0</v>
      </c>
      <c r="Z258" s="2">
        <f t="shared" si="71"/>
        <v>0</v>
      </c>
      <c r="AA258" s="2">
        <f t="shared" si="71"/>
        <v>0</v>
      </c>
      <c r="AB258" s="2">
        <f t="shared" si="71"/>
        <v>0</v>
      </c>
      <c r="AC258" s="2">
        <f t="shared" si="71"/>
        <v>0</v>
      </c>
      <c r="AD258" s="2">
        <f t="shared" si="71"/>
        <v>0</v>
      </c>
      <c r="AE258" s="2">
        <f t="shared" si="71"/>
        <v>0</v>
      </c>
    </row>
    <row r="259" spans="23:31" x14ac:dyDescent="0.45">
      <c r="W259" s="106" t="s">
        <v>65</v>
      </c>
      <c r="X259" s="61">
        <f>$AG$257</f>
        <v>0</v>
      </c>
      <c r="Y259" s="61">
        <f t="shared" ref="Y259:AE259" si="72">$AG$257</f>
        <v>0</v>
      </c>
      <c r="Z259" s="61">
        <f t="shared" si="72"/>
        <v>0</v>
      </c>
      <c r="AA259" s="61">
        <f t="shared" si="72"/>
        <v>0</v>
      </c>
      <c r="AB259" s="61">
        <f t="shared" si="72"/>
        <v>0</v>
      </c>
      <c r="AC259" s="61">
        <f t="shared" si="72"/>
        <v>0</v>
      </c>
      <c r="AD259" s="61">
        <f t="shared" si="72"/>
        <v>0</v>
      </c>
      <c r="AE259" s="61">
        <f t="shared" si="72"/>
        <v>0</v>
      </c>
    </row>
    <row r="260" spans="23:31" x14ac:dyDescent="0.45">
      <c r="W260" s="106" t="s">
        <v>66</v>
      </c>
      <c r="X260" s="61">
        <f>$AG$258</f>
        <v>0</v>
      </c>
      <c r="Y260" s="61">
        <f t="shared" ref="Y260:AE260" si="73">$AG$258</f>
        <v>0</v>
      </c>
      <c r="Z260" s="61">
        <f t="shared" si="73"/>
        <v>0</v>
      </c>
      <c r="AA260" s="61">
        <f t="shared" si="73"/>
        <v>0</v>
      </c>
      <c r="AB260" s="61">
        <f t="shared" si="73"/>
        <v>0</v>
      </c>
      <c r="AC260" s="61">
        <f t="shared" si="73"/>
        <v>0</v>
      </c>
      <c r="AD260" s="61">
        <f t="shared" si="73"/>
        <v>0</v>
      </c>
      <c r="AE260" s="61">
        <f t="shared" si="73"/>
        <v>0</v>
      </c>
    </row>
    <row r="262" spans="23:31" x14ac:dyDescent="0.45">
      <c r="W262" s="106" t="s">
        <v>102</v>
      </c>
      <c r="X262" s="91">
        <f t="shared" ref="X262:AE262" si="74">SUMPRODUCT(ProficLike,X4:X223)</f>
        <v>0</v>
      </c>
      <c r="Y262" s="91">
        <f t="shared" si="74"/>
        <v>0</v>
      </c>
      <c r="Z262" s="91">
        <f t="shared" si="74"/>
        <v>0</v>
      </c>
      <c r="AA262" s="91">
        <f t="shared" si="74"/>
        <v>0</v>
      </c>
      <c r="AB262" s="91">
        <f t="shared" si="74"/>
        <v>0</v>
      </c>
      <c r="AC262" s="91">
        <f t="shared" si="74"/>
        <v>0</v>
      </c>
      <c r="AD262" s="91">
        <f t="shared" si="74"/>
        <v>0</v>
      </c>
      <c r="AE262" s="91">
        <f t="shared" si="74"/>
        <v>0</v>
      </c>
    </row>
    <row r="263" spans="23:31" x14ac:dyDescent="0.45">
      <c r="W263" s="106" t="s">
        <v>57</v>
      </c>
      <c r="X263" s="108">
        <f>$L$224/$AF$3</f>
        <v>0</v>
      </c>
      <c r="Y263" s="108">
        <f t="shared" ref="Y263:AE263" si="75">$L$224/$AF$3</f>
        <v>0</v>
      </c>
      <c r="Z263" s="108">
        <f t="shared" si="75"/>
        <v>0</v>
      </c>
      <c r="AA263" s="108">
        <f t="shared" si="75"/>
        <v>0</v>
      </c>
      <c r="AB263" s="108">
        <f t="shared" si="75"/>
        <v>0</v>
      </c>
      <c r="AC263" s="108">
        <f t="shared" si="75"/>
        <v>0</v>
      </c>
      <c r="AD263" s="108">
        <f t="shared" si="75"/>
        <v>0</v>
      </c>
      <c r="AE263" s="108">
        <f t="shared" si="75"/>
        <v>0</v>
      </c>
    </row>
    <row r="264" spans="23:31" x14ac:dyDescent="0.45">
      <c r="W264" s="106" t="s">
        <v>69</v>
      </c>
      <c r="X264" s="61">
        <f>$AG$262</f>
        <v>0</v>
      </c>
      <c r="Y264" s="61">
        <f t="shared" ref="Y264:AE264" si="76">$AG$262</f>
        <v>0</v>
      </c>
      <c r="Z264" s="61">
        <f t="shared" si="76"/>
        <v>0</v>
      </c>
      <c r="AA264" s="61">
        <f t="shared" si="76"/>
        <v>0</v>
      </c>
      <c r="AB264" s="61">
        <f t="shared" si="76"/>
        <v>0</v>
      </c>
      <c r="AC264" s="61">
        <f t="shared" si="76"/>
        <v>0</v>
      </c>
      <c r="AD264" s="61">
        <f t="shared" si="76"/>
        <v>0</v>
      </c>
      <c r="AE264" s="61">
        <f t="shared" si="76"/>
        <v>0</v>
      </c>
    </row>
    <row r="265" spans="23:31" x14ac:dyDescent="0.45">
      <c r="W265" s="106" t="s">
        <v>70</v>
      </c>
      <c r="X265" s="61">
        <f>$AG$263</f>
        <v>0</v>
      </c>
      <c r="Y265" s="61">
        <f t="shared" ref="Y265:AE265" si="77">$AG$263</f>
        <v>0</v>
      </c>
      <c r="Z265" s="61">
        <f t="shared" si="77"/>
        <v>0</v>
      </c>
      <c r="AA265" s="61">
        <f t="shared" si="77"/>
        <v>0</v>
      </c>
      <c r="AB265" s="61">
        <f t="shared" si="77"/>
        <v>0</v>
      </c>
      <c r="AC265" s="61">
        <f t="shared" si="77"/>
        <v>0</v>
      </c>
      <c r="AD265" s="61">
        <f t="shared" si="77"/>
        <v>0</v>
      </c>
      <c r="AE265" s="61">
        <f t="shared" si="77"/>
        <v>0</v>
      </c>
    </row>
    <row r="267" spans="23:31" x14ac:dyDescent="0.45">
      <c r="W267" s="106" t="s">
        <v>62</v>
      </c>
    </row>
    <row r="268" spans="23:31" ht="14.65" thickBot="1" x14ac:dyDescent="0.5">
      <c r="W268" s="96"/>
      <c r="Y268" s="92" t="s">
        <v>63</v>
      </c>
      <c r="AB268" s="92" t="s">
        <v>63</v>
      </c>
      <c r="AE268" s="92" t="s">
        <v>63</v>
      </c>
    </row>
    <row r="269" spans="23:31" x14ac:dyDescent="0.45">
      <c r="W269" s="98" t="s">
        <v>25</v>
      </c>
      <c r="X269" s="59">
        <v>23</v>
      </c>
      <c r="Y269" s="93">
        <v>1</v>
      </c>
      <c r="Z269" s="84" t="s">
        <v>50</v>
      </c>
      <c r="AA269" s="59">
        <v>55</v>
      </c>
      <c r="AB269" s="1">
        <v>1</v>
      </c>
      <c r="AC269" s="84" t="s">
        <v>44</v>
      </c>
      <c r="AD269" s="59">
        <v>4</v>
      </c>
      <c r="AE269" s="1">
        <v>0</v>
      </c>
    </row>
    <row r="270" spans="23:31" ht="14.65" thickBot="1" x14ac:dyDescent="0.5">
      <c r="W270" s="99" t="s">
        <v>26</v>
      </c>
      <c r="X270" s="60">
        <v>25</v>
      </c>
      <c r="Y270" s="93">
        <v>1</v>
      </c>
      <c r="Z270" s="85" t="s">
        <v>51</v>
      </c>
      <c r="AA270" s="60">
        <v>65</v>
      </c>
      <c r="AB270" s="1">
        <v>1</v>
      </c>
      <c r="AC270" s="85" t="s">
        <v>45</v>
      </c>
      <c r="AD270" s="60">
        <v>7</v>
      </c>
      <c r="AE270" s="1">
        <v>0</v>
      </c>
    </row>
    <row r="271" spans="23:31" ht="14.65" thickBot="1" x14ac:dyDescent="0.5">
      <c r="W271" s="100"/>
      <c r="X271" s="58"/>
      <c r="Y271" s="93"/>
      <c r="Z271" s="58"/>
      <c r="AA271" s="58"/>
      <c r="AB271" s="93"/>
      <c r="AC271" s="58"/>
      <c r="AD271" s="58"/>
      <c r="AE271" s="1"/>
    </row>
    <row r="272" spans="23:31" x14ac:dyDescent="0.45">
      <c r="W272" s="101" t="s">
        <v>73</v>
      </c>
      <c r="X272" s="59">
        <v>10</v>
      </c>
      <c r="Y272" s="1">
        <v>1</v>
      </c>
      <c r="Z272" s="86" t="s">
        <v>29</v>
      </c>
      <c r="AA272" s="87">
        <v>65</v>
      </c>
      <c r="AB272" s="1">
        <v>1</v>
      </c>
      <c r="AC272" s="84" t="s">
        <v>42</v>
      </c>
      <c r="AD272" s="59">
        <v>3</v>
      </c>
      <c r="AE272" s="1">
        <v>0</v>
      </c>
    </row>
    <row r="273" spans="23:31" ht="14.65" thickBot="1" x14ac:dyDescent="0.5">
      <c r="W273" s="99" t="s">
        <v>74</v>
      </c>
      <c r="X273" s="60">
        <v>14</v>
      </c>
      <c r="Y273" s="1">
        <v>1</v>
      </c>
      <c r="Z273" s="88" t="s">
        <v>30</v>
      </c>
      <c r="AA273" s="89">
        <v>75</v>
      </c>
      <c r="AB273" s="1">
        <v>1</v>
      </c>
      <c r="AC273" s="85" t="s">
        <v>43</v>
      </c>
      <c r="AD273" s="60">
        <v>6</v>
      </c>
      <c r="AE273" s="1">
        <v>0</v>
      </c>
    </row>
    <row r="274" spans="23:31" ht="14.65" thickBot="1" x14ac:dyDescent="0.5"/>
    <row r="275" spans="23:31" x14ac:dyDescent="0.45">
      <c r="W275" s="101" t="s">
        <v>27</v>
      </c>
      <c r="X275" s="59">
        <v>11</v>
      </c>
      <c r="Y275" s="1">
        <v>1</v>
      </c>
    </row>
    <row r="276" spans="23:31" ht="14.65" thickBot="1" x14ac:dyDescent="0.5">
      <c r="W276" s="99" t="s">
        <v>28</v>
      </c>
      <c r="X276" s="60">
        <v>14</v>
      </c>
      <c r="Y276" s="1">
        <v>1</v>
      </c>
    </row>
    <row r="277" spans="23:31" ht="14.65" thickBot="1" x14ac:dyDescent="0.5">
      <c r="W277" s="96"/>
      <c r="Y277" s="1"/>
    </row>
    <row r="278" spans="23:31" x14ac:dyDescent="0.45">
      <c r="W278" s="103" t="s">
        <v>58</v>
      </c>
      <c r="X278" s="59">
        <v>4</v>
      </c>
      <c r="Y278" s="1">
        <v>1</v>
      </c>
    </row>
    <row r="279" spans="23:31" ht="14.65" thickBot="1" x14ac:dyDescent="0.5">
      <c r="W279" s="104" t="s">
        <v>59</v>
      </c>
      <c r="X279" s="60">
        <v>4</v>
      </c>
      <c r="Y279" s="1">
        <v>1</v>
      </c>
    </row>
    <row r="280" spans="23:31" ht="14.65" thickBot="1" x14ac:dyDescent="0.5"/>
    <row r="281" spans="23:31" x14ac:dyDescent="0.45">
      <c r="W281" s="103" t="s">
        <v>65</v>
      </c>
      <c r="X281" s="59">
        <v>-85</v>
      </c>
      <c r="Y281" s="1">
        <v>1</v>
      </c>
    </row>
    <row r="282" spans="23:31" ht="14.65" thickBot="1" x14ac:dyDescent="0.5">
      <c r="W282" s="104" t="s">
        <v>66</v>
      </c>
      <c r="X282" s="60">
        <v>-55</v>
      </c>
      <c r="Y282" s="1">
        <v>1</v>
      </c>
    </row>
    <row r="283" spans="23:31" ht="14.65" thickBot="1" x14ac:dyDescent="0.5"/>
    <row r="284" spans="23:31" x14ac:dyDescent="0.45">
      <c r="W284" s="103" t="s">
        <v>67</v>
      </c>
      <c r="X284" s="59">
        <v>1000</v>
      </c>
      <c r="Y284" s="1">
        <v>1</v>
      </c>
    </row>
    <row r="285" spans="23:31" ht="14.65" thickBot="1" x14ac:dyDescent="0.5">
      <c r="W285" s="104" t="s">
        <v>68</v>
      </c>
      <c r="X285" s="60">
        <v>1250</v>
      </c>
      <c r="Y285" s="1">
        <v>1</v>
      </c>
    </row>
    <row r="288" spans="23:31" ht="14.65" thickBot="1" x14ac:dyDescent="0.5">
      <c r="W288" s="104" t="s">
        <v>86</v>
      </c>
    </row>
    <row r="289" spans="20:31" ht="14.65" thickBot="1" x14ac:dyDescent="0.5">
      <c r="U289" s="111" t="s">
        <v>76</v>
      </c>
      <c r="W289" s="94" t="s">
        <v>87</v>
      </c>
      <c r="X289" s="110">
        <f>IF(AND($U$291,NOT(X2="NA"),NOT(X228=0)),(X$227-X$228)/X$228,0)</f>
        <v>-0.04</v>
      </c>
      <c r="Y289" s="110">
        <f t="shared" ref="Y289:AE289" si="78">IF(AND($U$291,NOT(Y2="NA"),NOT(Y228=0)),(Y$227-Y$228)/Y$228,0)</f>
        <v>1.3333333333333334E-2</v>
      </c>
      <c r="Z289" s="110">
        <f t="shared" si="78"/>
        <v>1.3333333333333334E-2</v>
      </c>
      <c r="AA289" s="110">
        <f t="shared" si="78"/>
        <v>-0.04</v>
      </c>
      <c r="AB289" s="110">
        <f t="shared" si="78"/>
        <v>1.3333333333333334E-2</v>
      </c>
      <c r="AC289" s="110">
        <f t="shared" si="78"/>
        <v>1.3333333333333334E-2</v>
      </c>
      <c r="AD289" s="110">
        <f t="shared" si="78"/>
        <v>1.3333333333333334E-2</v>
      </c>
      <c r="AE289" s="110">
        <f t="shared" si="78"/>
        <v>1.3333333333333334E-2</v>
      </c>
    </row>
    <row r="290" spans="20:31" ht="14.65" thickBot="1" x14ac:dyDescent="0.5">
      <c r="T290" s="1" t="s">
        <v>108</v>
      </c>
      <c r="U290" s="62" t="s">
        <v>103</v>
      </c>
      <c r="W290" s="95" t="s">
        <v>88</v>
      </c>
      <c r="X290" s="110">
        <f>IF(AND($U$291,NOT(X2="NA"),NOT(X228=0)),(-X$227+X$228)/X$228,0)</f>
        <v>0.04</v>
      </c>
      <c r="Y290" s="110">
        <f t="shared" ref="Y290:AE290" si="79">IF(AND($U$291,NOT(Y2="NA"),NOT(Y228=0)),(-Y$227+Y$228)/Y$228,0)</f>
        <v>-1.3333333333333334E-2</v>
      </c>
      <c r="Z290" s="110">
        <f t="shared" si="79"/>
        <v>-1.3333333333333334E-2</v>
      </c>
      <c r="AA290" s="110">
        <f t="shared" si="79"/>
        <v>0.04</v>
      </c>
      <c r="AB290" s="110">
        <f t="shared" si="79"/>
        <v>-1.3333333333333334E-2</v>
      </c>
      <c r="AC290" s="110">
        <f t="shared" si="79"/>
        <v>-1.3333333333333334E-2</v>
      </c>
      <c r="AD290" s="110">
        <f t="shared" si="79"/>
        <v>-1.3333333333333334E-2</v>
      </c>
      <c r="AE290" s="110">
        <f t="shared" si="79"/>
        <v>-1.3333333333333334E-2</v>
      </c>
    </row>
    <row r="291" spans="20:31" ht="14.65" thickBot="1" x14ac:dyDescent="0.5">
      <c r="U291" s="133" t="b">
        <v>1</v>
      </c>
      <c r="W291" s="111" t="s">
        <v>76</v>
      </c>
      <c r="X291" s="131">
        <v>0.04</v>
      </c>
      <c r="Y291" s="131">
        <v>1.3333332999999999E-2</v>
      </c>
      <c r="Z291" s="131">
        <v>1.3333332999999999E-2</v>
      </c>
      <c r="AA291" s="131">
        <v>0.04</v>
      </c>
      <c r="AB291" s="131">
        <v>1.3333332999999999E-2</v>
      </c>
      <c r="AC291" s="131">
        <v>1.3333332999999999E-2</v>
      </c>
      <c r="AD291" s="131">
        <v>1.3333332999999999E-2</v>
      </c>
      <c r="AE291" s="131">
        <v>1.3333332999999999E-2</v>
      </c>
    </row>
    <row r="292" spans="20:31" ht="14.65" thickBot="1" x14ac:dyDescent="0.5">
      <c r="U292" s="111" t="s">
        <v>89</v>
      </c>
      <c r="W292" s="94" t="s">
        <v>87</v>
      </c>
      <c r="X292" s="110">
        <f>IF(AND($U$294,NOT(X2="NA"),NOT(X231=0)),(X$230-X$231)/X$231,0)</f>
        <v>-5.8823529411764705E-2</v>
      </c>
      <c r="Y292" s="110">
        <f t="shared" ref="Y292:AE292" si="80">IF(AND($U$294,NOT(Y2="NA"),NOT(Y231=0)),(Y$230-Y$231)/Y$231,0)</f>
        <v>-5.8823529411764705E-2</v>
      </c>
      <c r="Z292" s="110">
        <f t="shared" si="80"/>
        <v>3.5294117647058823E-2</v>
      </c>
      <c r="AA292" s="110">
        <f t="shared" si="80"/>
        <v>-5.8823529411764705E-2</v>
      </c>
      <c r="AB292" s="110">
        <f t="shared" si="80"/>
        <v>3.5294117647058823E-2</v>
      </c>
      <c r="AC292" s="110">
        <f t="shared" si="80"/>
        <v>3.5294117647058823E-2</v>
      </c>
      <c r="AD292" s="110">
        <f t="shared" si="80"/>
        <v>3.5294117647058823E-2</v>
      </c>
      <c r="AE292" s="110">
        <f t="shared" si="80"/>
        <v>3.5294117647058823E-2</v>
      </c>
    </row>
    <row r="293" spans="20:31" ht="14.65" thickBot="1" x14ac:dyDescent="0.5">
      <c r="U293" s="62" t="s">
        <v>103</v>
      </c>
      <c r="W293" s="95" t="s">
        <v>88</v>
      </c>
      <c r="X293" s="110">
        <f>IF(AND($U$294,NOT(X2="NA"),NOT(X231=0)),(-X$230+X$231)/X$231,0)</f>
        <v>5.8823529411764705E-2</v>
      </c>
      <c r="Y293" s="110">
        <f t="shared" ref="Y293:AE293" si="81">IF(AND($U$294,NOT(Y2="NA"),NOT(Y231=0)),(-Y$230+Y$231)/Y$231,0)</f>
        <v>5.8823529411764705E-2</v>
      </c>
      <c r="Z293" s="110">
        <f t="shared" si="81"/>
        <v>-3.5294117647058823E-2</v>
      </c>
      <c r="AA293" s="110">
        <f t="shared" si="81"/>
        <v>5.8823529411764705E-2</v>
      </c>
      <c r="AB293" s="110">
        <f t="shared" si="81"/>
        <v>-3.5294117647058823E-2</v>
      </c>
      <c r="AC293" s="110">
        <f t="shared" si="81"/>
        <v>-3.5294117647058823E-2</v>
      </c>
      <c r="AD293" s="110">
        <f t="shared" si="81"/>
        <v>-3.5294117647058823E-2</v>
      </c>
      <c r="AE293" s="110">
        <f t="shared" si="81"/>
        <v>-3.5294117647058823E-2</v>
      </c>
    </row>
    <row r="294" spans="20:31" ht="14.65" thickBot="1" x14ac:dyDescent="0.5">
      <c r="U294" s="133" t="b">
        <v>1</v>
      </c>
      <c r="W294" s="111" t="s">
        <v>89</v>
      </c>
      <c r="X294" s="131">
        <v>5.8823528999999999E-2</v>
      </c>
      <c r="Y294" s="131">
        <v>5.8823528999999999E-2</v>
      </c>
      <c r="Z294" s="131">
        <v>3.5294117999999999E-2</v>
      </c>
      <c r="AA294" s="131">
        <v>5.8823528999999999E-2</v>
      </c>
      <c r="AB294" s="131">
        <v>3.5294117999999999E-2</v>
      </c>
      <c r="AC294" s="131">
        <v>3.5294117999999999E-2</v>
      </c>
      <c r="AD294" s="131">
        <v>3.5294117999999999E-2</v>
      </c>
      <c r="AE294" s="131">
        <v>3.5294117999999999E-2</v>
      </c>
    </row>
    <row r="295" spans="20:31" ht="14.65" thickBot="1" x14ac:dyDescent="0.5">
      <c r="U295" s="111" t="s">
        <v>75</v>
      </c>
      <c r="W295" s="94" t="s">
        <v>87</v>
      </c>
      <c r="X295" s="110">
        <f>IF(AND($U$297,NOT(X2="NA"),NOT(X234=0)),(X$233-X$234)/X$234,0)</f>
        <v>-0.04</v>
      </c>
      <c r="Y295" s="110">
        <f t="shared" ref="Y295:AD295" si="82">IF(AND($U$297,NOT(Y2="NA"),NOT(Y234=0)),(Y$233-Y$234)/Y$234,0)</f>
        <v>6.6666666666666666E-2</v>
      </c>
      <c r="Z295" s="110">
        <f t="shared" si="82"/>
        <v>6.6666666666666666E-2</v>
      </c>
      <c r="AA295" s="110">
        <f t="shared" si="82"/>
        <v>-0.04</v>
      </c>
      <c r="AB295" s="110">
        <f t="shared" si="82"/>
        <v>-0.04</v>
      </c>
      <c r="AC295" s="110">
        <f t="shared" si="82"/>
        <v>-0.04</v>
      </c>
      <c r="AD295" s="110">
        <f t="shared" si="82"/>
        <v>6.6666666666666666E-2</v>
      </c>
      <c r="AE295" s="110">
        <f>IF(AND($U$297,NOT(AE2="NA"),NOT(AE234=0)),(AE$233-AE$234)/AE$234,0)</f>
        <v>-0.04</v>
      </c>
    </row>
    <row r="296" spans="20:31" ht="14.65" thickBot="1" x14ac:dyDescent="0.5">
      <c r="U296" s="62" t="s">
        <v>103</v>
      </c>
      <c r="W296" s="95" t="s">
        <v>88</v>
      </c>
      <c r="X296" s="110">
        <f>IF(AND($U$297,NOT(X2="NA"),NOT(X234=0)),(-X$233+X$234)/X$234,0)</f>
        <v>0.04</v>
      </c>
      <c r="Y296" s="110">
        <f t="shared" ref="Y296:AE296" si="83">IF(AND($U$297,NOT(Y2="NA"),NOT(Y234=0)),(-Y$233+Y$234)/Y$234,0)</f>
        <v>-6.6666666666666666E-2</v>
      </c>
      <c r="Z296" s="110">
        <f t="shared" si="83"/>
        <v>-6.6666666666666666E-2</v>
      </c>
      <c r="AA296" s="110">
        <f t="shared" si="83"/>
        <v>0.04</v>
      </c>
      <c r="AB296" s="110">
        <f t="shared" si="83"/>
        <v>0.04</v>
      </c>
      <c r="AC296" s="110">
        <f t="shared" si="83"/>
        <v>0.04</v>
      </c>
      <c r="AD296" s="110">
        <f t="shared" si="83"/>
        <v>-6.6666666666666666E-2</v>
      </c>
      <c r="AE296" s="110">
        <f t="shared" si="83"/>
        <v>0.04</v>
      </c>
    </row>
    <row r="297" spans="20:31" ht="14.65" thickBot="1" x14ac:dyDescent="0.5">
      <c r="U297" s="133" t="b">
        <v>1</v>
      </c>
      <c r="W297" s="111" t="s">
        <v>75</v>
      </c>
      <c r="X297" s="131">
        <v>0.04</v>
      </c>
      <c r="Y297" s="131">
        <v>6.6666666999999999E-2</v>
      </c>
      <c r="Z297" s="131">
        <v>6.6666666999999999E-2</v>
      </c>
      <c r="AA297" s="131">
        <v>0.04</v>
      </c>
      <c r="AB297" s="131">
        <v>0.04</v>
      </c>
      <c r="AC297" s="131">
        <v>0.04</v>
      </c>
      <c r="AD297" s="131">
        <v>6.6666666999999999E-2</v>
      </c>
      <c r="AE297" s="131">
        <v>0.04</v>
      </c>
    </row>
    <row r="298" spans="20:31" ht="14.65" thickBot="1" x14ac:dyDescent="0.5">
      <c r="U298" s="111" t="s">
        <v>90</v>
      </c>
      <c r="W298" s="94" t="s">
        <v>87</v>
      </c>
      <c r="X298" s="110">
        <f>IF(AND($U$300,NOT(X2="NA"),NOT(X237=0)),(X$236-X$237)/X$237,0)</f>
        <v>-1.6393442622950821E-2</v>
      </c>
      <c r="Y298" s="110">
        <f t="shared" ref="Y298:AE298" si="84">IF(AND($U$300,NOT(Y2="NA"),NOT(Y237=0)),(Y$236-Y$237)/Y$237,0)</f>
        <v>5.4644808743169399E-3</v>
      </c>
      <c r="Z298" s="110">
        <f t="shared" si="84"/>
        <v>5.4644808743169399E-3</v>
      </c>
      <c r="AA298" s="110">
        <f t="shared" si="84"/>
        <v>5.4644808743169399E-3</v>
      </c>
      <c r="AB298" s="110">
        <f t="shared" si="84"/>
        <v>5.4644808743169399E-3</v>
      </c>
      <c r="AC298" s="110">
        <f t="shared" si="84"/>
        <v>5.4644808743169399E-3</v>
      </c>
      <c r="AD298" s="110">
        <f t="shared" si="84"/>
        <v>-1.6393442622950821E-2</v>
      </c>
      <c r="AE298" s="110">
        <f t="shared" si="84"/>
        <v>5.4644808743169399E-3</v>
      </c>
    </row>
    <row r="299" spans="20:31" ht="14.65" thickBot="1" x14ac:dyDescent="0.5">
      <c r="U299" s="62" t="s">
        <v>103</v>
      </c>
      <c r="W299" s="95" t="s">
        <v>88</v>
      </c>
      <c r="X299" s="110">
        <f>IF(AND($U$300,NOT(X2="NA"),NOT(X237=0)),(-X$236+X$237)/X$237,0)</f>
        <v>1.6393442622950821E-2</v>
      </c>
      <c r="Y299" s="110">
        <f t="shared" ref="Y299:AE299" si="85">IF(AND($U$300,NOT(Y2="NA"),NOT(Y237=0)),(-Y$236+Y$237)/Y$237,0)</f>
        <v>-5.4644808743169399E-3</v>
      </c>
      <c r="Z299" s="110">
        <f t="shared" si="85"/>
        <v>-5.4644808743169399E-3</v>
      </c>
      <c r="AA299" s="110">
        <f t="shared" si="85"/>
        <v>-5.4644808743169399E-3</v>
      </c>
      <c r="AB299" s="110">
        <f t="shared" si="85"/>
        <v>-5.4644808743169399E-3</v>
      </c>
      <c r="AC299" s="110">
        <f t="shared" si="85"/>
        <v>-5.4644808743169399E-3</v>
      </c>
      <c r="AD299" s="110">
        <f t="shared" si="85"/>
        <v>1.6393442622950821E-2</v>
      </c>
      <c r="AE299" s="110">
        <f t="shared" si="85"/>
        <v>-5.4644808743169399E-3</v>
      </c>
    </row>
    <row r="300" spans="20:31" ht="14.65" thickBot="1" x14ac:dyDescent="0.5">
      <c r="U300" s="133" t="b">
        <v>1</v>
      </c>
      <c r="W300" s="111" t="s">
        <v>90</v>
      </c>
      <c r="X300" s="131">
        <v>1.6393443000000001E-2</v>
      </c>
      <c r="Y300" s="131">
        <v>5.4644808999999997E-3</v>
      </c>
      <c r="Z300" s="131">
        <v>5.4644808999999997E-3</v>
      </c>
      <c r="AA300" s="131">
        <v>5.4644808999999997E-3</v>
      </c>
      <c r="AB300" s="131">
        <v>5.4644808999999997E-3</v>
      </c>
      <c r="AC300" s="131">
        <v>5.4644808999999997E-3</v>
      </c>
      <c r="AD300" s="131">
        <v>1.6393443000000001E-2</v>
      </c>
      <c r="AE300" s="131">
        <v>5.4644808999999997E-3</v>
      </c>
    </row>
    <row r="301" spans="20:31" ht="14.65" thickBot="1" x14ac:dyDescent="0.5">
      <c r="U301" s="111" t="s">
        <v>91</v>
      </c>
      <c r="W301" s="94" t="s">
        <v>87</v>
      </c>
      <c r="X301" s="110">
        <f>IF(AND($U$303,NOT(X2="NA"),NOT(X240=0)),(X$239-X$240)/X$240,0)</f>
        <v>-1.348747591522158E-2</v>
      </c>
      <c r="Y301" s="110">
        <f t="shared" ref="Y301:AE301" si="86">IF(AND($U$303,NOT(Y2="NA"),NOT(Y240=0)),(Y$239-Y$240)/Y$240,0)</f>
        <v>-1.348747591522158E-2</v>
      </c>
      <c r="Z301" s="110">
        <f t="shared" si="86"/>
        <v>1.7341040462427744E-2</v>
      </c>
      <c r="AA301" s="110">
        <f t="shared" si="86"/>
        <v>-1.348747591522158E-2</v>
      </c>
      <c r="AB301" s="110">
        <f t="shared" si="86"/>
        <v>1.9267822736030828E-3</v>
      </c>
      <c r="AC301" s="110">
        <f t="shared" si="86"/>
        <v>1.7341040462427744E-2</v>
      </c>
      <c r="AD301" s="110">
        <f t="shared" si="86"/>
        <v>1.9267822736030828E-3</v>
      </c>
      <c r="AE301" s="110">
        <f t="shared" si="86"/>
        <v>1.9267822736030828E-3</v>
      </c>
    </row>
    <row r="302" spans="20:31" ht="14.65" thickBot="1" x14ac:dyDescent="0.5">
      <c r="U302" s="62" t="s">
        <v>103</v>
      </c>
      <c r="W302" s="95" t="s">
        <v>88</v>
      </c>
      <c r="X302" s="110">
        <f>IF(AND($U$303,NOT(X2="NA"),NOT(X240=0)),(-X$239+X$240)/X$240,0)</f>
        <v>1.348747591522158E-2</v>
      </c>
      <c r="Y302" s="110">
        <f t="shared" ref="Y302:AE302" si="87">IF(AND($U$303,NOT(Y2="NA"),NOT(Y240=0)),(-Y$239+Y$240)/Y$240,0)</f>
        <v>1.348747591522158E-2</v>
      </c>
      <c r="Z302" s="110">
        <f t="shared" si="87"/>
        <v>-1.7341040462427744E-2</v>
      </c>
      <c r="AA302" s="110">
        <f t="shared" si="87"/>
        <v>1.348747591522158E-2</v>
      </c>
      <c r="AB302" s="110">
        <f t="shared" si="87"/>
        <v>-1.9267822736030828E-3</v>
      </c>
      <c r="AC302" s="110">
        <f t="shared" si="87"/>
        <v>-1.7341040462427744E-2</v>
      </c>
      <c r="AD302" s="110">
        <f t="shared" si="87"/>
        <v>-1.9267822736030828E-3</v>
      </c>
      <c r="AE302" s="110">
        <f t="shared" si="87"/>
        <v>-1.9267822736030828E-3</v>
      </c>
    </row>
    <row r="303" spans="20:31" ht="14.65" thickBot="1" x14ac:dyDescent="0.5">
      <c r="U303" s="133" t="b">
        <v>1</v>
      </c>
      <c r="W303" s="111" t="s">
        <v>91</v>
      </c>
      <c r="X303" s="131">
        <v>1.3487476E-2</v>
      </c>
      <c r="Y303" s="131">
        <v>1.3487476E-2</v>
      </c>
      <c r="Z303" s="131">
        <v>1.7341039999999999E-2</v>
      </c>
      <c r="AA303" s="131">
        <v>1.3487476E-2</v>
      </c>
      <c r="AB303" s="131">
        <v>1.9267823E-3</v>
      </c>
      <c r="AC303" s="131">
        <v>1.7341039999999999E-2</v>
      </c>
      <c r="AD303" s="131">
        <v>1.9267823E-3</v>
      </c>
      <c r="AE303" s="131">
        <v>1.9267823E-3</v>
      </c>
    </row>
    <row r="304" spans="20:31" ht="14.65" thickBot="1" x14ac:dyDescent="0.5">
      <c r="U304" s="111" t="s">
        <v>1</v>
      </c>
      <c r="W304" s="94" t="s">
        <v>87</v>
      </c>
      <c r="X304" s="110">
        <f>IF(AND($U$306,NOT(X2="NA"),NOT(X243=0),X3="IEP"),(X$242-X$243)/X$243,0)</f>
        <v>-0.58823529411764708</v>
      </c>
      <c r="Y304" s="110">
        <f t="shared" ref="Y304:AE304" si="88">IF(AND($U$306,NOT(Y2="NA"),NOT(Y243=0),Y3="IEP"),(Y$242-Y$243)/Y$243,0)</f>
        <v>-0.58823529411764708</v>
      </c>
      <c r="Z304" s="110">
        <f t="shared" si="88"/>
        <v>-0.17647058823529405</v>
      </c>
      <c r="AA304" s="110">
        <f t="shared" si="88"/>
        <v>0.23529411764705893</v>
      </c>
      <c r="AB304" s="110">
        <f t="shared" si="88"/>
        <v>-0.17647058823529405</v>
      </c>
      <c r="AC304" s="110">
        <f t="shared" si="88"/>
        <v>0.64705882352941191</v>
      </c>
      <c r="AD304" s="110">
        <f t="shared" si="88"/>
        <v>0.64705882352941191</v>
      </c>
      <c r="AE304" s="110">
        <f t="shared" si="88"/>
        <v>0</v>
      </c>
    </row>
    <row r="305" spans="21:31" ht="14.65" thickBot="1" x14ac:dyDescent="0.5">
      <c r="U305" s="62" t="s">
        <v>103</v>
      </c>
      <c r="W305" s="95" t="s">
        <v>88</v>
      </c>
      <c r="X305" s="110">
        <f>IF(AND($U$306,NOT(X2="NA"),NOT(X243=0),X3="IEP"),(-X$242+X$243)/X$243,0)</f>
        <v>0.58823529411764708</v>
      </c>
      <c r="Y305" s="110">
        <f t="shared" ref="Y305:AE305" si="89">IF(AND($U$306,NOT(Y2="NA"),NOT(Y243=0),Y3="IEP"),(-Y$242+Y$243)/Y$243,0)</f>
        <v>0.58823529411764708</v>
      </c>
      <c r="Z305" s="110">
        <f t="shared" si="89"/>
        <v>0.17647058823529405</v>
      </c>
      <c r="AA305" s="110">
        <f t="shared" si="89"/>
        <v>-0.23529411764705893</v>
      </c>
      <c r="AB305" s="110">
        <f t="shared" si="89"/>
        <v>0.17647058823529405</v>
      </c>
      <c r="AC305" s="110">
        <f t="shared" si="89"/>
        <v>-0.64705882352941191</v>
      </c>
      <c r="AD305" s="110">
        <f t="shared" si="89"/>
        <v>-0.64705882352941191</v>
      </c>
      <c r="AE305" s="110">
        <f t="shared" si="89"/>
        <v>0</v>
      </c>
    </row>
    <row r="306" spans="21:31" ht="14.65" thickBot="1" x14ac:dyDescent="0.5">
      <c r="U306" s="133" t="b">
        <v>1</v>
      </c>
      <c r="W306" s="111" t="s">
        <v>1</v>
      </c>
      <c r="X306" s="131">
        <v>0.58823528999999997</v>
      </c>
      <c r="Y306" s="131">
        <v>0.58823528999999997</v>
      </c>
      <c r="Z306" s="131">
        <v>0.17647059000000001</v>
      </c>
      <c r="AA306" s="131">
        <v>0.23529412</v>
      </c>
      <c r="AB306" s="131">
        <v>0.17647059000000001</v>
      </c>
      <c r="AC306" s="131">
        <v>0.64705882000000003</v>
      </c>
      <c r="AD306" s="131">
        <v>0.64705882000000003</v>
      </c>
      <c r="AE306" s="131">
        <v>0</v>
      </c>
    </row>
    <row r="307" spans="21:31" ht="14.65" thickBot="1" x14ac:dyDescent="0.5">
      <c r="U307" s="111" t="s">
        <v>2</v>
      </c>
      <c r="W307" s="94" t="s">
        <v>87</v>
      </c>
      <c r="X307" s="110">
        <f>IF(AND($U$309,NOT(X2="NA"),NOT(X248=0),X3="GIEP"),(X$247-X$248)/X$248,0)</f>
        <v>0</v>
      </c>
      <c r="Y307" s="110">
        <f t="shared" ref="Y307:AE307" si="90">IF(AND($U$309,NOT(Y2="NA"),NOT(Y248=0),Y3="GIEP"),(Y$247-Y$248)/Y$248,0)</f>
        <v>0</v>
      </c>
      <c r="Z307" s="110">
        <f t="shared" si="90"/>
        <v>0</v>
      </c>
      <c r="AA307" s="110">
        <f t="shared" si="90"/>
        <v>0</v>
      </c>
      <c r="AB307" s="110">
        <f t="shared" si="90"/>
        <v>0</v>
      </c>
      <c r="AC307" s="110">
        <f t="shared" si="90"/>
        <v>0</v>
      </c>
      <c r="AD307" s="110">
        <f t="shared" si="90"/>
        <v>0</v>
      </c>
      <c r="AE307" s="110">
        <f t="shared" si="90"/>
        <v>0</v>
      </c>
    </row>
    <row r="308" spans="21:31" ht="14.65" thickBot="1" x14ac:dyDescent="0.5">
      <c r="U308" s="62" t="s">
        <v>103</v>
      </c>
      <c r="W308" s="95" t="s">
        <v>88</v>
      </c>
      <c r="X308" s="110">
        <f>IF(AND($U$309,NOT(X2="NA"),NOT(X248=0),X3="GIEP"),(-X$247+X$248)/X$248,0)</f>
        <v>0</v>
      </c>
      <c r="Y308" s="110">
        <f t="shared" ref="Y308:AE308" si="91">IF(AND($U$309,NOT(Y2="NA"),NOT(Y248=0),Y3="GIEP"),(-Y$247+Y$248)/Y$248,0)</f>
        <v>0</v>
      </c>
      <c r="Z308" s="110">
        <f t="shared" si="91"/>
        <v>0</v>
      </c>
      <c r="AA308" s="110">
        <f t="shared" si="91"/>
        <v>0</v>
      </c>
      <c r="AB308" s="110">
        <f t="shared" si="91"/>
        <v>0</v>
      </c>
      <c r="AC308" s="110">
        <f t="shared" si="91"/>
        <v>0</v>
      </c>
      <c r="AD308" s="110">
        <f t="shared" si="91"/>
        <v>0</v>
      </c>
      <c r="AE308" s="110">
        <f t="shared" si="91"/>
        <v>0</v>
      </c>
    </row>
    <row r="309" spans="21:31" ht="14.65" thickBot="1" x14ac:dyDescent="0.5">
      <c r="U309" s="133" t="b">
        <v>1</v>
      </c>
      <c r="W309" s="111" t="s">
        <v>2</v>
      </c>
      <c r="X309" s="131">
        <v>0</v>
      </c>
      <c r="Y309" s="131">
        <v>0</v>
      </c>
      <c r="Z309" s="131">
        <v>0</v>
      </c>
      <c r="AA309" s="131">
        <v>0</v>
      </c>
      <c r="AB309" s="131">
        <v>0</v>
      </c>
      <c r="AC309" s="131">
        <v>0</v>
      </c>
      <c r="AD309" s="131">
        <v>0</v>
      </c>
      <c r="AE309" s="131">
        <v>0</v>
      </c>
    </row>
    <row r="310" spans="21:31" ht="14.65" thickBot="1" x14ac:dyDescent="0.5">
      <c r="U310" s="111" t="s">
        <v>92</v>
      </c>
      <c r="W310" s="94" t="s">
        <v>87</v>
      </c>
      <c r="X310" s="110">
        <f>IF(AND($U$312,NOT(X2="NA"),NOT(X253=0)),(X$252-X$253)/X$253,0)</f>
        <v>-0.15789473684210525</v>
      </c>
      <c r="Y310" s="110">
        <f t="shared" ref="Y310:AE310" si="92">IF(AND($U$312,NOT(Y2="NA"),NOT(Y253=0)),(Y$252-Y$253)/Y$253,0)</f>
        <v>-0.15789473684210525</v>
      </c>
      <c r="Z310" s="110">
        <f t="shared" si="92"/>
        <v>-0.15789473684210525</v>
      </c>
      <c r="AA310" s="110">
        <f t="shared" si="92"/>
        <v>-0.15789473684210525</v>
      </c>
      <c r="AB310" s="110">
        <f t="shared" si="92"/>
        <v>0.26315789473684209</v>
      </c>
      <c r="AC310" s="110">
        <f t="shared" si="92"/>
        <v>0.26315789473684209</v>
      </c>
      <c r="AD310" s="110">
        <f t="shared" si="92"/>
        <v>-0.15789473684210525</v>
      </c>
      <c r="AE310" s="110">
        <f t="shared" si="92"/>
        <v>0.26315789473684209</v>
      </c>
    </row>
    <row r="311" spans="21:31" ht="14.65" thickBot="1" x14ac:dyDescent="0.5">
      <c r="U311" s="62" t="s">
        <v>103</v>
      </c>
      <c r="W311" s="95" t="s">
        <v>88</v>
      </c>
      <c r="X311" s="110">
        <f>IF(AND($U$312,NOT(X2="NA"),NOT(X253=0)),(-X$252+X$253)/X$253,0)</f>
        <v>0.15789473684210525</v>
      </c>
      <c r="Y311" s="110">
        <f t="shared" ref="Y311:AE311" si="93">IF(AND($U$312,NOT(Y2="NA"),NOT(Y253=0)),(-Y$252+Y$253)/Y$253,0)</f>
        <v>0.15789473684210525</v>
      </c>
      <c r="Z311" s="110">
        <f t="shared" si="93"/>
        <v>0.15789473684210525</v>
      </c>
      <c r="AA311" s="110">
        <f t="shared" si="93"/>
        <v>0.15789473684210525</v>
      </c>
      <c r="AB311" s="110">
        <f t="shared" si="93"/>
        <v>-0.26315789473684209</v>
      </c>
      <c r="AC311" s="110">
        <f t="shared" si="93"/>
        <v>-0.26315789473684209</v>
      </c>
      <c r="AD311" s="110">
        <f t="shared" si="93"/>
        <v>0.15789473684210525</v>
      </c>
      <c r="AE311" s="110">
        <f t="shared" si="93"/>
        <v>-0.26315789473684209</v>
      </c>
    </row>
    <row r="312" spans="21:31" ht="14.65" thickBot="1" x14ac:dyDescent="0.5">
      <c r="U312" s="133" t="b">
        <v>1</v>
      </c>
      <c r="W312" s="111" t="s">
        <v>92</v>
      </c>
      <c r="X312" s="131">
        <v>0.15789474000000001</v>
      </c>
      <c r="Y312" s="131">
        <v>0.15789474000000001</v>
      </c>
      <c r="Z312" s="131">
        <v>0.15789474000000001</v>
      </c>
      <c r="AA312" s="131">
        <v>0.15789474000000001</v>
      </c>
      <c r="AB312" s="131">
        <v>0.26315789000000001</v>
      </c>
      <c r="AC312" s="131">
        <v>0.26315789000000001</v>
      </c>
      <c r="AD312" s="131">
        <v>0.15789474000000001</v>
      </c>
      <c r="AE312" s="131">
        <v>0.26315789000000001</v>
      </c>
    </row>
    <row r="313" spans="21:31" ht="14.65" thickBot="1" x14ac:dyDescent="0.5">
      <c r="U313" s="111" t="s">
        <v>93</v>
      </c>
      <c r="W313" s="94" t="s">
        <v>87</v>
      </c>
      <c r="X313" s="110">
        <f>IF(AND($U$315,NOT(X2="NA"),NOT(X258=0)),(X$257-X$258)/X$258,0)</f>
        <v>0</v>
      </c>
      <c r="Y313" s="110">
        <f t="shared" ref="Y313:AE313" si="94">IF(AND($U$315,NOT(Y2="NA"),NOT(Y258=0)),(Y$257-Y$258)/Y$258,0)</f>
        <v>0</v>
      </c>
      <c r="Z313" s="110">
        <f t="shared" si="94"/>
        <v>0</v>
      </c>
      <c r="AA313" s="110">
        <f t="shared" si="94"/>
        <v>0</v>
      </c>
      <c r="AB313" s="110">
        <f t="shared" si="94"/>
        <v>0</v>
      </c>
      <c r="AC313" s="110">
        <f t="shared" si="94"/>
        <v>0</v>
      </c>
      <c r="AD313" s="110">
        <f t="shared" si="94"/>
        <v>0</v>
      </c>
      <c r="AE313" s="110">
        <f t="shared" si="94"/>
        <v>0</v>
      </c>
    </row>
    <row r="314" spans="21:31" ht="14.65" thickBot="1" x14ac:dyDescent="0.5">
      <c r="U314" s="62" t="s">
        <v>103</v>
      </c>
      <c r="W314" s="95" t="s">
        <v>88</v>
      </c>
      <c r="X314" s="110">
        <f>IF(AND($U$315,NOT(X2="NA"),NOT(X258=0)),(-X$257+X$258)/X$258,0)</f>
        <v>0</v>
      </c>
      <c r="Y314" s="110">
        <f t="shared" ref="Y314:AE314" si="95">IF(AND($U$315,NOT(Y2="NA"),NOT(Y258=0)),(-Y$257+Y$258)/Y$258,0)</f>
        <v>0</v>
      </c>
      <c r="Z314" s="110">
        <f t="shared" si="95"/>
        <v>0</v>
      </c>
      <c r="AA314" s="110">
        <f t="shared" si="95"/>
        <v>0</v>
      </c>
      <c r="AB314" s="110">
        <f t="shared" si="95"/>
        <v>0</v>
      </c>
      <c r="AC314" s="110">
        <f t="shared" si="95"/>
        <v>0</v>
      </c>
      <c r="AD314" s="110">
        <f t="shared" si="95"/>
        <v>0</v>
      </c>
      <c r="AE314" s="110">
        <f t="shared" si="95"/>
        <v>0</v>
      </c>
    </row>
    <row r="315" spans="21:31" ht="14.65" thickBot="1" x14ac:dyDescent="0.5">
      <c r="U315" s="133" t="b">
        <v>0</v>
      </c>
      <c r="W315" s="111" t="s">
        <v>93</v>
      </c>
      <c r="X315" s="131">
        <v>0</v>
      </c>
      <c r="Y315" s="131">
        <v>0</v>
      </c>
      <c r="Z315" s="131">
        <v>0</v>
      </c>
      <c r="AA315" s="131">
        <v>0</v>
      </c>
      <c r="AB315" s="131">
        <v>0</v>
      </c>
      <c r="AC315" s="131">
        <v>0</v>
      </c>
      <c r="AD315" s="131">
        <v>0</v>
      </c>
      <c r="AE315" s="131">
        <v>0</v>
      </c>
    </row>
    <row r="316" spans="21:31" ht="14.65" thickBot="1" x14ac:dyDescent="0.5">
      <c r="U316" s="111" t="s">
        <v>94</v>
      </c>
      <c r="W316" s="94" t="s">
        <v>87</v>
      </c>
      <c r="X316" s="110">
        <f>IF(AND($U$318,NOT(X2="NA"),NOT(X263=0)),(X$262-X$263)/X$263,0)</f>
        <v>0</v>
      </c>
      <c r="Y316" s="110">
        <f t="shared" ref="Y316:AD316" si="96">IF(AND($U$318,NOT(Y2="NA"),NOT(Y263=0)),(Y$262-Y$263)/Y$263,0)</f>
        <v>0</v>
      </c>
      <c r="Z316" s="110">
        <f t="shared" si="96"/>
        <v>0</v>
      </c>
      <c r="AA316" s="110">
        <f t="shared" si="96"/>
        <v>0</v>
      </c>
      <c r="AB316" s="110">
        <f t="shared" si="96"/>
        <v>0</v>
      </c>
      <c r="AC316" s="110">
        <f t="shared" si="96"/>
        <v>0</v>
      </c>
      <c r="AD316" s="110">
        <f t="shared" si="96"/>
        <v>0</v>
      </c>
      <c r="AE316" s="110">
        <f>IF(AND($U$318,NOT(AE2="NA"),NOT(AE263=0)),(AE$262-AE$263)/AE$263,0)</f>
        <v>0</v>
      </c>
    </row>
    <row r="317" spans="21:31" ht="14.65" thickBot="1" x14ac:dyDescent="0.5">
      <c r="U317" s="62" t="s">
        <v>103</v>
      </c>
      <c r="W317" s="95" t="s">
        <v>88</v>
      </c>
      <c r="X317" s="110">
        <f>IF(AND($U$318,NOT(X2="NA"),NOT(X263=0)),(-X$262+X$263)/X$263,0)</f>
        <v>0</v>
      </c>
      <c r="Y317" s="110">
        <f t="shared" ref="Y317:AE317" si="97">IF(AND($U$318,NOT(Y2="NA"),NOT(Y263=0)),(-Y$262+Y$263)/Y$263,0)</f>
        <v>0</v>
      </c>
      <c r="Z317" s="110">
        <f t="shared" si="97"/>
        <v>0</v>
      </c>
      <c r="AA317" s="110">
        <f t="shared" si="97"/>
        <v>0</v>
      </c>
      <c r="AB317" s="110">
        <f t="shared" si="97"/>
        <v>0</v>
      </c>
      <c r="AC317" s="110">
        <f t="shared" si="97"/>
        <v>0</v>
      </c>
      <c r="AD317" s="110">
        <f t="shared" si="97"/>
        <v>0</v>
      </c>
      <c r="AE317" s="110">
        <f t="shared" si="97"/>
        <v>0</v>
      </c>
    </row>
    <row r="318" spans="21:31" x14ac:dyDescent="0.45">
      <c r="U318" s="133" t="b">
        <v>0</v>
      </c>
      <c r="W318" s="111" t="s">
        <v>94</v>
      </c>
      <c r="X318" s="131">
        <v>0</v>
      </c>
      <c r="Y318" s="131">
        <v>0</v>
      </c>
      <c r="Z318" s="131">
        <v>0</v>
      </c>
      <c r="AA318" s="131">
        <v>0</v>
      </c>
      <c r="AB318" s="131">
        <v>0</v>
      </c>
      <c r="AC318" s="131">
        <v>0</v>
      </c>
      <c r="AD318" s="131">
        <v>0</v>
      </c>
      <c r="AE318" s="131">
        <v>0</v>
      </c>
    </row>
    <row r="319" spans="21:31" x14ac:dyDescent="0.45">
      <c r="W319" s="112"/>
    </row>
    <row r="320" spans="21:31" x14ac:dyDescent="0.45">
      <c r="W320" s="112" t="s">
        <v>96</v>
      </c>
    </row>
    <row r="321" spans="21:31" x14ac:dyDescent="0.45">
      <c r="W321" s="113" t="s">
        <v>97</v>
      </c>
    </row>
    <row r="322" spans="21:31" x14ac:dyDescent="0.45">
      <c r="W322" s="1">
        <f>SUM(SUMPRODUCT(X291:AE291,X324:AE324),SUMPRODUCT(X294:AE294,X325:AE325),SUMPRODUCT(X297:AE297,X326:AE326),SUMPRODUCT(X300:AE300,X327:AE327),SUMPRODUCT(X303:AE303,X328:AE328),SUMPRODUCT(X306:AE306,X329:AE329),SUMPRODUCT(X309:AE309,X330:AE330),SUMPRODUCT(X312:AE312,X331:AE331),SUMPRODUCT(X315:AE315,X332:AE332),SUMPRODUCT(X318:AE318,X333:AE333))</f>
        <v>2.8486053461499998</v>
      </c>
    </row>
    <row r="323" spans="21:31" x14ac:dyDescent="0.45">
      <c r="X323" t="s">
        <v>109</v>
      </c>
    </row>
    <row r="324" spans="21:31" ht="14.65" thickBot="1" x14ac:dyDescent="0.5">
      <c r="U324">
        <f>IF(U291,0,1)</f>
        <v>0</v>
      </c>
      <c r="W324" s="111" t="s">
        <v>76</v>
      </c>
      <c r="X324" s="154">
        <f>StudentToClassAssignments!A5/SUMPRODUCT(StudentToClassAssignments!$A$5:$A$14,$U$324:$U$333)</f>
        <v>0.5</v>
      </c>
      <c r="Y324" s="155">
        <f>X324</f>
        <v>0.5</v>
      </c>
      <c r="Z324" s="155">
        <f t="shared" ref="Z324:AE324" si="98">Y324</f>
        <v>0.5</v>
      </c>
      <c r="AA324" s="155">
        <f t="shared" si="98"/>
        <v>0.5</v>
      </c>
      <c r="AB324" s="155">
        <f t="shared" si="98"/>
        <v>0.5</v>
      </c>
      <c r="AC324" s="155">
        <f t="shared" si="98"/>
        <v>0.5</v>
      </c>
      <c r="AD324" s="155">
        <f t="shared" si="98"/>
        <v>0.5</v>
      </c>
      <c r="AE324" s="155">
        <f t="shared" si="98"/>
        <v>0.5</v>
      </c>
    </row>
    <row r="325" spans="21:31" ht="15" thickTop="1" thickBot="1" x14ac:dyDescent="0.5">
      <c r="U325">
        <f>IF(U294,0,1)</f>
        <v>0</v>
      </c>
      <c r="W325" s="111" t="s">
        <v>89</v>
      </c>
      <c r="X325" s="154">
        <f>StudentToClassAssignments!A6/SUMPRODUCT(StudentToClassAssignments!$A$5:$A$14,$U$324:$U$333)</f>
        <v>0.5</v>
      </c>
      <c r="Y325" s="155">
        <f>X325</f>
        <v>0.5</v>
      </c>
      <c r="Z325" s="155">
        <f t="shared" ref="Z325:AE325" si="99">Y325</f>
        <v>0.5</v>
      </c>
      <c r="AA325" s="155">
        <f t="shared" si="99"/>
        <v>0.5</v>
      </c>
      <c r="AB325" s="155">
        <f t="shared" si="99"/>
        <v>0.5</v>
      </c>
      <c r="AC325" s="155">
        <f t="shared" si="99"/>
        <v>0.5</v>
      </c>
      <c r="AD325" s="155">
        <f t="shared" si="99"/>
        <v>0.5</v>
      </c>
      <c r="AE325" s="155">
        <f t="shared" si="99"/>
        <v>0.5</v>
      </c>
    </row>
    <row r="326" spans="21:31" ht="15" thickTop="1" thickBot="1" x14ac:dyDescent="0.5">
      <c r="U326">
        <f>IF(U297,0,1)</f>
        <v>0</v>
      </c>
      <c r="W326" s="111" t="s">
        <v>75</v>
      </c>
      <c r="X326" s="154">
        <f>StudentToClassAssignments!A7/SUMPRODUCT(StudentToClassAssignments!$A$5:$A$14,$U$324:$U$333)</f>
        <v>0.5</v>
      </c>
      <c r="Y326" s="155">
        <f t="shared" ref="Y326:AE333" si="100">X326</f>
        <v>0.5</v>
      </c>
      <c r="Z326" s="155">
        <f t="shared" si="100"/>
        <v>0.5</v>
      </c>
      <c r="AA326" s="155">
        <f t="shared" si="100"/>
        <v>0.5</v>
      </c>
      <c r="AB326" s="155">
        <f t="shared" si="100"/>
        <v>0.5</v>
      </c>
      <c r="AC326" s="155">
        <f t="shared" si="100"/>
        <v>0.5</v>
      </c>
      <c r="AD326" s="155">
        <f t="shared" si="100"/>
        <v>0.5</v>
      </c>
      <c r="AE326" s="155">
        <f t="shared" si="100"/>
        <v>0.5</v>
      </c>
    </row>
    <row r="327" spans="21:31" ht="15" thickTop="1" thickBot="1" x14ac:dyDescent="0.5">
      <c r="U327">
        <f>IF(U300,0,1)</f>
        <v>0</v>
      </c>
      <c r="W327" s="111" t="s">
        <v>90</v>
      </c>
      <c r="X327" s="154">
        <f>StudentToClassAssignments!A8/SUMPRODUCT(StudentToClassAssignments!$A$5:$A$14,$U$324:$U$333)</f>
        <v>0.5</v>
      </c>
      <c r="Y327" s="155">
        <f t="shared" si="100"/>
        <v>0.5</v>
      </c>
      <c r="Z327" s="155">
        <f t="shared" si="100"/>
        <v>0.5</v>
      </c>
      <c r="AA327" s="155">
        <f t="shared" si="100"/>
        <v>0.5</v>
      </c>
      <c r="AB327" s="155">
        <f t="shared" si="100"/>
        <v>0.5</v>
      </c>
      <c r="AC327" s="155">
        <f t="shared" si="100"/>
        <v>0.5</v>
      </c>
      <c r="AD327" s="155">
        <f t="shared" si="100"/>
        <v>0.5</v>
      </c>
      <c r="AE327" s="155">
        <f t="shared" si="100"/>
        <v>0.5</v>
      </c>
    </row>
    <row r="328" spans="21:31" ht="15" thickTop="1" thickBot="1" x14ac:dyDescent="0.5">
      <c r="U328">
        <f>IF(U303,0,1)</f>
        <v>0</v>
      </c>
      <c r="W328" s="111" t="s">
        <v>91</v>
      </c>
      <c r="X328" s="154">
        <f>StudentToClassAssignments!A9/SUMPRODUCT(StudentToClassAssignments!$A$5:$A$14,$U$324:$U$333)</f>
        <v>0.5</v>
      </c>
      <c r="Y328" s="155">
        <f t="shared" si="100"/>
        <v>0.5</v>
      </c>
      <c r="Z328" s="155">
        <f t="shared" si="100"/>
        <v>0.5</v>
      </c>
      <c r="AA328" s="155">
        <f t="shared" si="100"/>
        <v>0.5</v>
      </c>
      <c r="AB328" s="155">
        <f t="shared" si="100"/>
        <v>0.5</v>
      </c>
      <c r="AC328" s="155">
        <f t="shared" si="100"/>
        <v>0.5</v>
      </c>
      <c r="AD328" s="155">
        <f t="shared" si="100"/>
        <v>0.5</v>
      </c>
      <c r="AE328" s="155">
        <f t="shared" si="100"/>
        <v>0.5</v>
      </c>
    </row>
    <row r="329" spans="21:31" ht="15" thickTop="1" thickBot="1" x14ac:dyDescent="0.5">
      <c r="U329">
        <f>IF(U306,0,1)</f>
        <v>0</v>
      </c>
      <c r="W329" s="111" t="s">
        <v>1</v>
      </c>
      <c r="X329" s="154">
        <f>StudentToClassAssignments!A10/SUMPRODUCT(StudentToClassAssignments!$A$5:$A$14,$U$324:$U$333)</f>
        <v>0.5</v>
      </c>
      <c r="Y329" s="155">
        <f t="shared" si="100"/>
        <v>0.5</v>
      </c>
      <c r="Z329" s="155">
        <f t="shared" si="100"/>
        <v>0.5</v>
      </c>
      <c r="AA329" s="155">
        <f t="shared" si="100"/>
        <v>0.5</v>
      </c>
      <c r="AB329" s="155">
        <f t="shared" si="100"/>
        <v>0.5</v>
      </c>
      <c r="AC329" s="155">
        <f t="shared" si="100"/>
        <v>0.5</v>
      </c>
      <c r="AD329" s="155">
        <f t="shared" si="100"/>
        <v>0.5</v>
      </c>
      <c r="AE329" s="155">
        <f t="shared" si="100"/>
        <v>0.5</v>
      </c>
    </row>
    <row r="330" spans="21:31" ht="15" thickTop="1" thickBot="1" x14ac:dyDescent="0.5">
      <c r="U330">
        <f>IF(U309,0,1)</f>
        <v>0</v>
      </c>
      <c r="W330" s="111" t="s">
        <v>2</v>
      </c>
      <c r="X330" s="154">
        <f>StudentToClassAssignments!A11/SUMPRODUCT(StudentToClassAssignments!$A$5:$A$14,$U$324:$U$333)</f>
        <v>0.5</v>
      </c>
      <c r="Y330" s="155">
        <f t="shared" si="100"/>
        <v>0.5</v>
      </c>
      <c r="Z330" s="155">
        <f t="shared" si="100"/>
        <v>0.5</v>
      </c>
      <c r="AA330" s="155">
        <f t="shared" si="100"/>
        <v>0.5</v>
      </c>
      <c r="AB330" s="155">
        <f t="shared" si="100"/>
        <v>0.5</v>
      </c>
      <c r="AC330" s="155">
        <f t="shared" si="100"/>
        <v>0.5</v>
      </c>
      <c r="AD330" s="155">
        <f t="shared" si="100"/>
        <v>0.5</v>
      </c>
      <c r="AE330" s="155">
        <f t="shared" si="100"/>
        <v>0.5</v>
      </c>
    </row>
    <row r="331" spans="21:31" ht="15" thickTop="1" thickBot="1" x14ac:dyDescent="0.5">
      <c r="U331">
        <f>IF(U312,0,1)</f>
        <v>0</v>
      </c>
      <c r="W331" s="111" t="s">
        <v>92</v>
      </c>
      <c r="X331" s="154">
        <f>StudentToClassAssignments!A12/SUMPRODUCT(StudentToClassAssignments!$A$5:$A$14,$U$324:$U$333)</f>
        <v>0.5</v>
      </c>
      <c r="Y331" s="155">
        <f t="shared" si="100"/>
        <v>0.5</v>
      </c>
      <c r="Z331" s="155">
        <f t="shared" si="100"/>
        <v>0.5</v>
      </c>
      <c r="AA331" s="155">
        <f t="shared" si="100"/>
        <v>0.5</v>
      </c>
      <c r="AB331" s="155">
        <f t="shared" si="100"/>
        <v>0.5</v>
      </c>
      <c r="AC331" s="155">
        <f t="shared" si="100"/>
        <v>0.5</v>
      </c>
      <c r="AD331" s="155">
        <f t="shared" si="100"/>
        <v>0.5</v>
      </c>
      <c r="AE331" s="155">
        <f t="shared" si="100"/>
        <v>0.5</v>
      </c>
    </row>
    <row r="332" spans="21:31" ht="15" thickTop="1" thickBot="1" x14ac:dyDescent="0.5">
      <c r="U332">
        <f>IF(U315,0,1)</f>
        <v>1</v>
      </c>
      <c r="W332" s="111" t="s">
        <v>93</v>
      </c>
      <c r="X332" s="154">
        <f>StudentToClassAssignments!A13/SUMPRODUCT(StudentToClassAssignments!$A$5:$A$14,$U$324:$U$333)</f>
        <v>0.5</v>
      </c>
      <c r="Y332" s="155">
        <f t="shared" si="100"/>
        <v>0.5</v>
      </c>
      <c r="Z332" s="155">
        <f t="shared" si="100"/>
        <v>0.5</v>
      </c>
      <c r="AA332" s="155">
        <f t="shared" si="100"/>
        <v>0.5</v>
      </c>
      <c r="AB332" s="155">
        <f t="shared" si="100"/>
        <v>0.5</v>
      </c>
      <c r="AC332" s="155">
        <f t="shared" si="100"/>
        <v>0.5</v>
      </c>
      <c r="AD332" s="155">
        <f t="shared" si="100"/>
        <v>0.5</v>
      </c>
      <c r="AE332" s="155">
        <f t="shared" si="100"/>
        <v>0.5</v>
      </c>
    </row>
    <row r="333" spans="21:31" ht="15" thickTop="1" thickBot="1" x14ac:dyDescent="0.5">
      <c r="U333">
        <f>IF(U318,0,1)</f>
        <v>1</v>
      </c>
      <c r="W333" s="111" t="s">
        <v>94</v>
      </c>
      <c r="X333" s="154">
        <f>StudentToClassAssignments!A14/SUMPRODUCT(StudentToClassAssignments!$A$5:$A$14,$U$324:$U$333)</f>
        <v>0.5</v>
      </c>
      <c r="Y333" s="155">
        <f t="shared" si="100"/>
        <v>0.5</v>
      </c>
      <c r="Z333" s="155">
        <f t="shared" si="100"/>
        <v>0.5</v>
      </c>
      <c r="AA333" s="155">
        <f t="shared" si="100"/>
        <v>0.5</v>
      </c>
      <c r="AB333" s="155">
        <f t="shared" si="100"/>
        <v>0.5</v>
      </c>
      <c r="AC333" s="155">
        <f t="shared" si="100"/>
        <v>0.5</v>
      </c>
      <c r="AD333" s="155">
        <f t="shared" si="100"/>
        <v>0.5</v>
      </c>
      <c r="AE333" s="155">
        <f t="shared" si="100"/>
        <v>0.5</v>
      </c>
    </row>
    <row r="334" spans="21:31" ht="14.65" thickTop="1" x14ac:dyDescent="0.45"/>
    <row r="2910" spans="20:20" x14ac:dyDescent="0.45">
      <c r="T2910" t="b">
        <v>1</v>
      </c>
    </row>
  </sheetData>
  <conditionalFormatting sqref="X4:AE223">
    <cfRule type="cellIs" dxfId="0" priority="1" operator="greaterThan">
      <formula>0.1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K45"/>
  <sheetViews>
    <sheetView tabSelected="1" zoomScaleNormal="100" workbookViewId="0">
      <pane xSplit="3" ySplit="4" topLeftCell="D5" activePane="bottomRight" state="frozen"/>
      <selection pane="topRight" activeCell="B1" sqref="B1"/>
      <selection pane="bottomLeft" activeCell="A6" sqref="A6"/>
      <selection pane="bottomRight" activeCell="F34" sqref="F34"/>
    </sheetView>
  </sheetViews>
  <sheetFormatPr defaultColWidth="8.796875" defaultRowHeight="14.25" x14ac:dyDescent="0.45"/>
  <cols>
    <col min="1" max="1" width="7.33203125" bestFit="1" customWidth="1"/>
    <col min="2" max="2" width="7.6640625" bestFit="1" customWidth="1"/>
    <col min="3" max="3" width="17.33203125" bestFit="1" customWidth="1"/>
    <col min="4" max="11" width="25" customWidth="1"/>
    <col min="12" max="12" width="21" customWidth="1"/>
  </cols>
  <sheetData>
    <row r="1" spans="1:11" ht="14.65" thickBot="1" x14ac:dyDescent="0.5">
      <c r="A1" s="137"/>
      <c r="B1" s="146"/>
      <c r="C1" s="138"/>
      <c r="D1" s="143"/>
      <c r="E1" s="144"/>
      <c r="F1" s="144"/>
      <c r="G1" s="144"/>
      <c r="H1" s="144"/>
      <c r="I1" s="144"/>
      <c r="J1" s="144"/>
      <c r="K1" s="117"/>
    </row>
    <row r="2" spans="1:11" ht="19.899999999999999" thickBot="1" x14ac:dyDescent="0.65">
      <c r="A2" s="139"/>
      <c r="B2" s="121"/>
      <c r="C2" s="140"/>
      <c r="D2" s="124" t="s">
        <v>11</v>
      </c>
      <c r="E2" s="124"/>
      <c r="F2" s="124"/>
      <c r="G2" s="124"/>
      <c r="H2" s="124"/>
      <c r="I2" s="124"/>
      <c r="J2" s="124"/>
      <c r="K2" s="124"/>
    </row>
    <row r="3" spans="1:11" ht="15" thickTop="1" thickBot="1" x14ac:dyDescent="0.5">
      <c r="A3" s="141"/>
      <c r="B3" s="145"/>
      <c r="C3" s="142"/>
      <c r="D3" s="134" t="str">
        <f>AssignmentModel!X2</f>
        <v>Gair</v>
      </c>
      <c r="E3" s="125" t="str">
        <f>AssignmentModel!Y2</f>
        <v>Lehr</v>
      </c>
      <c r="F3" s="125" t="str">
        <f>AssignmentModel!Z2</f>
        <v>Armstrong</v>
      </c>
      <c r="G3" s="125" t="str">
        <f>AssignmentModel!AA2</f>
        <v>Steele</v>
      </c>
      <c r="H3" s="125" t="str">
        <f>AssignmentModel!AB2</f>
        <v>Bowers</v>
      </c>
      <c r="I3" s="125" t="str">
        <f>AssignmentModel!AC2</f>
        <v>Hicks</v>
      </c>
      <c r="J3" s="125" t="str">
        <f>AssignmentModel!AD2</f>
        <v>Cook</v>
      </c>
      <c r="K3" s="125" t="str">
        <f>AssignmentModel!AE2</f>
        <v>Loehr</v>
      </c>
    </row>
    <row r="4" spans="1:11" ht="28.9" thickBot="1" x14ac:dyDescent="0.5">
      <c r="A4" s="135" t="s">
        <v>110</v>
      </c>
      <c r="B4" s="135" t="s">
        <v>111</v>
      </c>
      <c r="C4" s="136" t="s">
        <v>19</v>
      </c>
      <c r="D4" s="122" t="str">
        <f>AssignmentModel!X3</f>
        <v>IEP</v>
      </c>
      <c r="E4" s="122" t="str">
        <f>AssignmentModel!Y3</f>
        <v>IEP</v>
      </c>
      <c r="F4" s="122" t="str">
        <f>AssignmentModel!Z3</f>
        <v>IEP</v>
      </c>
      <c r="G4" s="122" t="str">
        <f>AssignmentModel!AA3</f>
        <v>IEP</v>
      </c>
      <c r="H4" s="122" t="str">
        <f>AssignmentModel!AB3</f>
        <v>IEP</v>
      </c>
      <c r="I4" s="122" t="str">
        <f>AssignmentModel!AC3</f>
        <v>IEP</v>
      </c>
      <c r="J4" s="122" t="str">
        <f>AssignmentModel!AD3</f>
        <v>IEP</v>
      </c>
      <c r="K4" s="123" t="str">
        <f>AssignmentModel!AE3</f>
        <v>GIEP</v>
      </c>
    </row>
    <row r="5" spans="1:11" ht="15" customHeight="1" x14ac:dyDescent="0.45">
      <c r="A5" s="3">
        <v>10</v>
      </c>
      <c r="B5" s="1"/>
      <c r="C5" s="118" t="s">
        <v>76</v>
      </c>
      <c r="D5" s="91">
        <f>AssignmentModel!X227</f>
        <v>18</v>
      </c>
      <c r="E5" s="91">
        <f>AssignmentModel!Y227</f>
        <v>19</v>
      </c>
      <c r="F5" s="91">
        <f>AssignmentModel!Z227</f>
        <v>19</v>
      </c>
      <c r="G5" s="91">
        <f>AssignmentModel!AA227</f>
        <v>18</v>
      </c>
      <c r="H5" s="91">
        <f>AssignmentModel!AB227</f>
        <v>19</v>
      </c>
      <c r="I5" s="91">
        <f>AssignmentModel!AC227</f>
        <v>19</v>
      </c>
      <c r="J5" s="91">
        <f>AssignmentModel!AD227</f>
        <v>19</v>
      </c>
      <c r="K5" s="91">
        <f>AssignmentModel!AE227</f>
        <v>19</v>
      </c>
    </row>
    <row r="6" spans="1:11" ht="15" customHeight="1" x14ac:dyDescent="0.45">
      <c r="A6" s="3">
        <v>10</v>
      </c>
      <c r="B6" s="1"/>
      <c r="C6" s="119" t="s">
        <v>99</v>
      </c>
      <c r="D6" s="91">
        <f>AssignmentModel!X230</f>
        <v>10</v>
      </c>
      <c r="E6" s="91">
        <f>AssignmentModel!Y230</f>
        <v>10</v>
      </c>
      <c r="F6" s="91">
        <f>AssignmentModel!Z230</f>
        <v>11</v>
      </c>
      <c r="G6" s="91">
        <f>AssignmentModel!AA230</f>
        <v>10</v>
      </c>
      <c r="H6" s="91">
        <f>AssignmentModel!AB230</f>
        <v>11</v>
      </c>
      <c r="I6" s="91">
        <f>AssignmentModel!AC230</f>
        <v>11</v>
      </c>
      <c r="J6" s="91">
        <f>AssignmentModel!AD230</f>
        <v>11</v>
      </c>
      <c r="K6" s="91">
        <f>AssignmentModel!AE230</f>
        <v>11</v>
      </c>
    </row>
    <row r="7" spans="1:11" ht="15" customHeight="1" x14ac:dyDescent="0.45">
      <c r="A7" s="3">
        <v>10</v>
      </c>
      <c r="B7" s="1"/>
      <c r="C7" s="119" t="s">
        <v>100</v>
      </c>
      <c r="D7" s="91">
        <f>AssignmentModel!X233</f>
        <v>9</v>
      </c>
      <c r="E7" s="91">
        <f>AssignmentModel!Y233</f>
        <v>10</v>
      </c>
      <c r="F7" s="91">
        <f>AssignmentModel!Z233</f>
        <v>10</v>
      </c>
      <c r="G7" s="91">
        <f>AssignmentModel!AA233</f>
        <v>9</v>
      </c>
      <c r="H7" s="91">
        <f>AssignmentModel!AB233</f>
        <v>9</v>
      </c>
      <c r="I7" s="91">
        <f>AssignmentModel!AC233</f>
        <v>9</v>
      </c>
      <c r="J7" s="91">
        <f>AssignmentModel!AD233</f>
        <v>10</v>
      </c>
      <c r="K7" s="91">
        <f>AssignmentModel!AE233</f>
        <v>9</v>
      </c>
    </row>
    <row r="8" spans="1:11" ht="15" customHeight="1" x14ac:dyDescent="0.45">
      <c r="A8" s="3">
        <v>10</v>
      </c>
      <c r="B8" s="1"/>
      <c r="C8" s="119" t="s">
        <v>52</v>
      </c>
      <c r="D8" s="153">
        <f>AssignmentModel!X236/D5</f>
        <v>2.5</v>
      </c>
      <c r="E8" s="153">
        <f>AssignmentModel!Y236/E5</f>
        <v>2.4210526315789473</v>
      </c>
      <c r="F8" s="153">
        <f>AssignmentModel!Z236/F5</f>
        <v>2.4210526315789473</v>
      </c>
      <c r="G8" s="153">
        <f>AssignmentModel!AA236/G5</f>
        <v>2.5555555555555554</v>
      </c>
      <c r="H8" s="153">
        <f>AssignmentModel!AB236/H5</f>
        <v>2.4210526315789473</v>
      </c>
      <c r="I8" s="153">
        <f>AssignmentModel!AC236/I5</f>
        <v>2.4210526315789473</v>
      </c>
      <c r="J8" s="153">
        <f>AssignmentModel!AD236/J5</f>
        <v>2.3684210526315788</v>
      </c>
      <c r="K8" s="153">
        <f>AssignmentModel!AE236/K5</f>
        <v>2.4210526315789473</v>
      </c>
    </row>
    <row r="9" spans="1:11" ht="15" customHeight="1" x14ac:dyDescent="0.45">
      <c r="A9" s="3">
        <v>10</v>
      </c>
      <c r="B9" s="1"/>
      <c r="C9" s="119" t="s">
        <v>53</v>
      </c>
      <c r="D9" s="153">
        <f>AssignmentModel!X239/D5</f>
        <v>3.5555555555555554</v>
      </c>
      <c r="E9" s="153">
        <f>AssignmentModel!Y239/E5</f>
        <v>3.3684210526315788</v>
      </c>
      <c r="F9" s="153">
        <f>AssignmentModel!Z239/F5</f>
        <v>3.4736842105263159</v>
      </c>
      <c r="G9" s="153">
        <f>AssignmentModel!AA239/G5</f>
        <v>3.5555555555555554</v>
      </c>
      <c r="H9" s="153">
        <f>AssignmentModel!AB239/H5</f>
        <v>3.4210526315789473</v>
      </c>
      <c r="I9" s="153">
        <f>AssignmentModel!AC239/I5</f>
        <v>3.4736842105263159</v>
      </c>
      <c r="J9" s="153">
        <f>AssignmentModel!AD239/J5</f>
        <v>3.4210526315789473</v>
      </c>
      <c r="K9" s="153">
        <f>AssignmentModel!AE239/K5</f>
        <v>3.4210526315789473</v>
      </c>
    </row>
    <row r="10" spans="1:11" ht="15" customHeight="1" x14ac:dyDescent="0.45">
      <c r="A10" s="3">
        <v>10</v>
      </c>
      <c r="B10" s="1"/>
      <c r="C10" s="119" t="s">
        <v>101</v>
      </c>
      <c r="D10" s="115">
        <f>AssignmentModel!X252</f>
        <v>2</v>
      </c>
      <c r="E10" s="115">
        <f>AssignmentModel!Y252</f>
        <v>2</v>
      </c>
      <c r="F10" s="115">
        <f>AssignmentModel!Z252</f>
        <v>2</v>
      </c>
      <c r="G10" s="115">
        <f>AssignmentModel!AA252</f>
        <v>2</v>
      </c>
      <c r="H10" s="115">
        <f>AssignmentModel!AB252</f>
        <v>3</v>
      </c>
      <c r="I10" s="115">
        <f>AssignmentModel!AC252</f>
        <v>3</v>
      </c>
      <c r="J10" s="115">
        <f>AssignmentModel!AD252</f>
        <v>2</v>
      </c>
      <c r="K10" s="115">
        <f>AssignmentModel!AE252</f>
        <v>3</v>
      </c>
    </row>
    <row r="11" spans="1:11" ht="15" customHeight="1" x14ac:dyDescent="0.45">
      <c r="A11" s="3">
        <v>10</v>
      </c>
      <c r="B11" s="1"/>
      <c r="C11" s="119" t="s">
        <v>77</v>
      </c>
      <c r="D11" s="115">
        <f>AssignmentModel!X242</f>
        <v>1</v>
      </c>
      <c r="E11" s="115">
        <f>AssignmentModel!Y242</f>
        <v>1</v>
      </c>
      <c r="F11" s="115">
        <f>AssignmentModel!Z242</f>
        <v>2</v>
      </c>
      <c r="G11" s="115">
        <f>AssignmentModel!AA242</f>
        <v>3</v>
      </c>
      <c r="H11" s="115">
        <f>AssignmentModel!AB242</f>
        <v>2</v>
      </c>
      <c r="I11" s="115">
        <f>AssignmentModel!AC242</f>
        <v>4</v>
      </c>
      <c r="J11" s="115">
        <f>AssignmentModel!AD242</f>
        <v>4</v>
      </c>
      <c r="K11" s="115">
        <f>AssignmentModel!AE242</f>
        <v>0</v>
      </c>
    </row>
    <row r="12" spans="1:11" ht="15" customHeight="1" x14ac:dyDescent="0.45">
      <c r="A12" s="3">
        <v>10</v>
      </c>
      <c r="B12" s="1"/>
      <c r="C12" s="119" t="s">
        <v>78</v>
      </c>
      <c r="D12" s="115">
        <f>AssignmentModel!X247</f>
        <v>0</v>
      </c>
      <c r="E12" s="115">
        <f>AssignmentModel!Y247</f>
        <v>0</v>
      </c>
      <c r="F12" s="115">
        <f>AssignmentModel!Z247</f>
        <v>0</v>
      </c>
      <c r="G12" s="115">
        <f>AssignmentModel!AA247</f>
        <v>0</v>
      </c>
      <c r="H12" s="115">
        <f>AssignmentModel!AB247</f>
        <v>0</v>
      </c>
      <c r="I12" s="115">
        <f>AssignmentModel!AC247</f>
        <v>0</v>
      </c>
      <c r="J12" s="115">
        <f>AssignmentModel!AD247</f>
        <v>0</v>
      </c>
      <c r="K12" s="115">
        <f>AssignmentModel!AE247</f>
        <v>1</v>
      </c>
    </row>
    <row r="13" spans="1:11" ht="15" customHeight="1" x14ac:dyDescent="0.45">
      <c r="A13" s="3">
        <v>10</v>
      </c>
      <c r="B13" s="1"/>
      <c r="C13" s="119" t="s">
        <v>79</v>
      </c>
      <c r="D13" s="153">
        <f>AssignmentModel!X257/D5</f>
        <v>0</v>
      </c>
      <c r="E13" s="153">
        <f>AssignmentModel!Y257/E5</f>
        <v>0</v>
      </c>
      <c r="F13" s="153">
        <f>AssignmentModel!Z257/F5</f>
        <v>0</v>
      </c>
      <c r="G13" s="153">
        <f>AssignmentModel!AA257/G5</f>
        <v>0</v>
      </c>
      <c r="H13" s="153">
        <f>AssignmentModel!AB257/H5</f>
        <v>0</v>
      </c>
      <c r="I13" s="153">
        <f>AssignmentModel!AC257/I5</f>
        <v>0</v>
      </c>
      <c r="J13" s="153">
        <f>AssignmentModel!AD257/J5</f>
        <v>0</v>
      </c>
      <c r="K13" s="153">
        <f>AssignmentModel!AE257/K5</f>
        <v>0</v>
      </c>
    </row>
    <row r="14" spans="1:11" ht="15" customHeight="1" thickBot="1" x14ac:dyDescent="0.5">
      <c r="A14" s="3">
        <v>10</v>
      </c>
      <c r="B14" s="1"/>
      <c r="C14" s="120" t="s">
        <v>80</v>
      </c>
      <c r="D14" s="153">
        <f>AssignmentModel!X262/D5</f>
        <v>0</v>
      </c>
      <c r="E14" s="153">
        <f>AssignmentModel!Y262/E5</f>
        <v>0</v>
      </c>
      <c r="F14" s="153">
        <f>AssignmentModel!Z262/F5</f>
        <v>0</v>
      </c>
      <c r="G14" s="153">
        <f>AssignmentModel!AA262/G5</f>
        <v>0</v>
      </c>
      <c r="H14" s="153">
        <f>AssignmentModel!AB262/H5</f>
        <v>0</v>
      </c>
      <c r="I14" s="153">
        <f>AssignmentModel!AC262/I5</f>
        <v>0</v>
      </c>
      <c r="J14" s="153">
        <f>AssignmentModel!AD262/J5</f>
        <v>0</v>
      </c>
      <c r="K14" s="153">
        <f>AssignmentModel!AE262/K5</f>
        <v>0</v>
      </c>
    </row>
    <row r="15" spans="1:11" ht="14.65" thickBot="1" x14ac:dyDescent="0.5">
      <c r="A15" s="151"/>
      <c r="B15" s="152"/>
      <c r="C15" s="156" t="s">
        <v>0</v>
      </c>
      <c r="D15" s="125" t="str">
        <f>D3</f>
        <v>Gair</v>
      </c>
      <c r="E15" s="125" t="str">
        <f t="shared" ref="E15:K15" si="0">E3</f>
        <v>Lehr</v>
      </c>
      <c r="F15" s="125" t="str">
        <f t="shared" si="0"/>
        <v>Armstrong</v>
      </c>
      <c r="G15" s="125" t="str">
        <f t="shared" si="0"/>
        <v>Steele</v>
      </c>
      <c r="H15" s="125" t="str">
        <f t="shared" si="0"/>
        <v>Bowers</v>
      </c>
      <c r="I15" s="125" t="str">
        <f t="shared" si="0"/>
        <v>Hicks</v>
      </c>
      <c r="J15" s="125" t="str">
        <f t="shared" si="0"/>
        <v>Cook</v>
      </c>
      <c r="K15" s="125" t="str">
        <f t="shared" si="0"/>
        <v>Loehr</v>
      </c>
    </row>
    <row r="16" spans="1:11" x14ac:dyDescent="0.45">
      <c r="A16" s="147"/>
      <c r="B16" s="148"/>
      <c r="C16" s="127">
        <v>1</v>
      </c>
      <c r="D16" s="126" t="s">
        <v>466</v>
      </c>
      <c r="E16" s="116" t="s">
        <v>448</v>
      </c>
      <c r="F16" s="116" t="s">
        <v>485</v>
      </c>
      <c r="G16" s="116" t="s">
        <v>447</v>
      </c>
      <c r="H16" s="116" t="s">
        <v>395</v>
      </c>
      <c r="I16" s="116" t="s">
        <v>527</v>
      </c>
      <c r="J16" s="116" t="s">
        <v>506</v>
      </c>
      <c r="K16" s="116" t="s">
        <v>467</v>
      </c>
    </row>
    <row r="17" spans="1:11" x14ac:dyDescent="0.45">
      <c r="A17" s="147"/>
      <c r="B17" s="148"/>
      <c r="C17" s="128">
        <v>2</v>
      </c>
      <c r="D17" s="126" t="s">
        <v>505</v>
      </c>
      <c r="E17" s="116" t="s">
        <v>470</v>
      </c>
      <c r="F17" s="116" t="s">
        <v>449</v>
      </c>
      <c r="G17" s="116" t="s">
        <v>507</v>
      </c>
      <c r="H17" s="116" t="s">
        <v>396</v>
      </c>
      <c r="I17" s="116" t="s">
        <v>397</v>
      </c>
      <c r="J17" s="116" t="s">
        <v>413</v>
      </c>
      <c r="K17" s="116" t="s">
        <v>432</v>
      </c>
    </row>
    <row r="18" spans="1:11" x14ac:dyDescent="0.45">
      <c r="A18" s="147"/>
      <c r="B18" s="148"/>
      <c r="C18" s="128">
        <v>3</v>
      </c>
      <c r="D18" s="126" t="s">
        <v>414</v>
      </c>
      <c r="E18" s="116" t="s">
        <v>510</v>
      </c>
      <c r="F18" s="116" t="s">
        <v>434</v>
      </c>
      <c r="G18" s="116" t="s">
        <v>508</v>
      </c>
      <c r="H18" s="116" t="s">
        <v>469</v>
      </c>
      <c r="I18" s="116" t="s">
        <v>398</v>
      </c>
      <c r="J18" s="116" t="s">
        <v>526</v>
      </c>
      <c r="K18" s="116" t="s">
        <v>468</v>
      </c>
    </row>
    <row r="19" spans="1:11" x14ac:dyDescent="0.45">
      <c r="A19" s="147"/>
      <c r="B19" s="148"/>
      <c r="C19" s="128">
        <v>4</v>
      </c>
      <c r="D19" s="126" t="s">
        <v>415</v>
      </c>
      <c r="E19" s="116" t="s">
        <v>437</v>
      </c>
      <c r="F19" s="116" t="s">
        <v>400</v>
      </c>
      <c r="G19" s="116" t="s">
        <v>436</v>
      </c>
      <c r="H19" s="116" t="s">
        <v>528</v>
      </c>
      <c r="I19" s="116" t="s">
        <v>416</v>
      </c>
      <c r="J19" s="116" t="s">
        <v>433</v>
      </c>
      <c r="K19" s="116" t="s">
        <v>435</v>
      </c>
    </row>
    <row r="20" spans="1:11" x14ac:dyDescent="0.45">
      <c r="A20" s="147"/>
      <c r="B20" s="148"/>
      <c r="C20" s="128">
        <v>5</v>
      </c>
      <c r="D20" s="126" t="s">
        <v>399</v>
      </c>
      <c r="E20" s="116" t="s">
        <v>487</v>
      </c>
      <c r="F20" s="116" t="s">
        <v>419</v>
      </c>
      <c r="G20" s="116" t="s">
        <v>401</v>
      </c>
      <c r="H20" s="116" t="s">
        <v>418</v>
      </c>
      <c r="I20" s="116" t="s">
        <v>529</v>
      </c>
      <c r="J20" s="116" t="s">
        <v>450</v>
      </c>
      <c r="K20" s="116" t="s">
        <v>509</v>
      </c>
    </row>
    <row r="21" spans="1:11" x14ac:dyDescent="0.45">
      <c r="A21" s="147"/>
      <c r="B21" s="148"/>
      <c r="C21" s="128">
        <v>6</v>
      </c>
      <c r="D21" s="126" t="s">
        <v>486</v>
      </c>
      <c r="E21" s="116" t="s">
        <v>438</v>
      </c>
      <c r="F21" s="116" t="s">
        <v>453</v>
      </c>
      <c r="G21" s="116" t="s">
        <v>451</v>
      </c>
      <c r="H21" s="116" t="s">
        <v>489</v>
      </c>
      <c r="I21" s="116" t="s">
        <v>472</v>
      </c>
      <c r="J21" s="116" t="s">
        <v>471</v>
      </c>
      <c r="K21" s="116" t="s">
        <v>417</v>
      </c>
    </row>
    <row r="22" spans="1:11" x14ac:dyDescent="0.45">
      <c r="A22" s="147"/>
      <c r="B22" s="148"/>
      <c r="C22" s="128">
        <v>7</v>
      </c>
      <c r="D22" s="126" t="s">
        <v>454</v>
      </c>
      <c r="E22" s="116" t="s">
        <v>511</v>
      </c>
      <c r="F22" s="116" t="s">
        <v>494</v>
      </c>
      <c r="G22" s="116" t="s">
        <v>439</v>
      </c>
      <c r="H22" s="116" t="s">
        <v>530</v>
      </c>
      <c r="I22" s="116" t="s">
        <v>455</v>
      </c>
      <c r="J22" s="116" t="s">
        <v>490</v>
      </c>
      <c r="K22" s="116" t="s">
        <v>452</v>
      </c>
    </row>
    <row r="23" spans="1:11" x14ac:dyDescent="0.45">
      <c r="A23" s="147"/>
      <c r="B23" s="148"/>
      <c r="C23" s="128">
        <v>8</v>
      </c>
      <c r="D23" s="126" t="s">
        <v>402</v>
      </c>
      <c r="E23" s="116" t="s">
        <v>440</v>
      </c>
      <c r="F23" s="116" t="s">
        <v>533</v>
      </c>
      <c r="G23" s="116" t="s">
        <v>491</v>
      </c>
      <c r="H23" s="116" t="s">
        <v>442</v>
      </c>
      <c r="I23" s="116" t="s">
        <v>531</v>
      </c>
      <c r="J23" s="116" t="s">
        <v>441</v>
      </c>
      <c r="K23" s="116" t="s">
        <v>488</v>
      </c>
    </row>
    <row r="24" spans="1:11" x14ac:dyDescent="0.45">
      <c r="A24" s="147"/>
      <c r="B24" s="148"/>
      <c r="C24" s="128">
        <v>9</v>
      </c>
      <c r="D24" s="126" t="s">
        <v>493</v>
      </c>
      <c r="E24" s="116" t="s">
        <v>403</v>
      </c>
      <c r="F24" s="116" t="s">
        <v>534</v>
      </c>
      <c r="G24" s="116" t="s">
        <v>492</v>
      </c>
      <c r="H24" s="116" t="s">
        <v>459</v>
      </c>
      <c r="I24" s="116" t="s">
        <v>495</v>
      </c>
      <c r="J24" s="116" t="s">
        <v>443</v>
      </c>
      <c r="K24" s="116" t="s">
        <v>532</v>
      </c>
    </row>
    <row r="25" spans="1:11" x14ac:dyDescent="0.45">
      <c r="A25" s="147"/>
      <c r="B25" s="148"/>
      <c r="C25" s="128">
        <v>10</v>
      </c>
      <c r="D25" s="126" t="s">
        <v>456</v>
      </c>
      <c r="E25" s="116" t="s">
        <v>496</v>
      </c>
      <c r="F25" s="116" t="s">
        <v>535</v>
      </c>
      <c r="G25" s="116" t="s">
        <v>513</v>
      </c>
      <c r="H25" s="116" t="s">
        <v>499</v>
      </c>
      <c r="I25" s="116" t="s">
        <v>473</v>
      </c>
      <c r="J25" s="116" t="s">
        <v>406</v>
      </c>
      <c r="K25" s="116" t="s">
        <v>420</v>
      </c>
    </row>
    <row r="26" spans="1:11" x14ac:dyDescent="0.45">
      <c r="A26" s="147"/>
      <c r="B26" s="148"/>
      <c r="C26" s="128">
        <v>11</v>
      </c>
      <c r="D26" s="126" t="s">
        <v>512</v>
      </c>
      <c r="E26" s="116" t="s">
        <v>536</v>
      </c>
      <c r="F26" s="116" t="s">
        <v>537</v>
      </c>
      <c r="G26" s="116" t="s">
        <v>514</v>
      </c>
      <c r="H26" s="116" t="s">
        <v>475</v>
      </c>
      <c r="I26" s="116" t="s">
        <v>539</v>
      </c>
      <c r="J26" s="116" t="s">
        <v>501</v>
      </c>
      <c r="K26" s="116" t="s">
        <v>457</v>
      </c>
    </row>
    <row r="27" spans="1:11" x14ac:dyDescent="0.45">
      <c r="A27" s="147"/>
      <c r="B27" s="148"/>
      <c r="C27" s="128">
        <v>12</v>
      </c>
      <c r="D27" s="126" t="s">
        <v>444</v>
      </c>
      <c r="E27" s="116" t="s">
        <v>405</v>
      </c>
      <c r="F27" s="116" t="s">
        <v>404</v>
      </c>
      <c r="G27" s="116" t="s">
        <v>458</v>
      </c>
      <c r="H27" s="116" t="s">
        <v>540</v>
      </c>
      <c r="I27" s="116" t="s">
        <v>476</v>
      </c>
      <c r="J27" s="116" t="s">
        <v>426</v>
      </c>
      <c r="K27" s="116" t="s">
        <v>538</v>
      </c>
    </row>
    <row r="28" spans="1:11" x14ac:dyDescent="0.45">
      <c r="A28" s="147"/>
      <c r="B28" s="148"/>
      <c r="C28" s="128">
        <v>13</v>
      </c>
      <c r="D28" s="126" t="s">
        <v>421</v>
      </c>
      <c r="E28" s="116" t="s">
        <v>445</v>
      </c>
      <c r="F28" s="116" t="s">
        <v>515</v>
      </c>
      <c r="G28" s="116" t="s">
        <v>477</v>
      </c>
      <c r="H28" s="116" t="s">
        <v>518</v>
      </c>
      <c r="I28" s="116" t="s">
        <v>519</v>
      </c>
      <c r="J28" s="116" t="s">
        <v>504</v>
      </c>
      <c r="K28" s="116" t="s">
        <v>474</v>
      </c>
    </row>
    <row r="29" spans="1:11" x14ac:dyDescent="0.45">
      <c r="A29" s="147"/>
      <c r="B29" s="148"/>
      <c r="C29" s="128">
        <v>14</v>
      </c>
      <c r="D29" s="126" t="s">
        <v>516</v>
      </c>
      <c r="E29" s="116" t="s">
        <v>500</v>
      </c>
      <c r="F29" s="116" t="s">
        <v>497</v>
      </c>
      <c r="G29" s="116" t="s">
        <v>478</v>
      </c>
      <c r="H29" s="116" t="s">
        <v>542</v>
      </c>
      <c r="I29" s="116" t="s">
        <v>425</v>
      </c>
      <c r="J29" s="116" t="s">
        <v>429</v>
      </c>
      <c r="K29" s="116" t="s">
        <v>498</v>
      </c>
    </row>
    <row r="30" spans="1:11" x14ac:dyDescent="0.45">
      <c r="A30" s="147"/>
      <c r="B30" s="148"/>
      <c r="C30" s="128">
        <v>15</v>
      </c>
      <c r="D30" s="126" t="s">
        <v>409</v>
      </c>
      <c r="E30" s="116" t="s">
        <v>424</v>
      </c>
      <c r="F30" s="116" t="s">
        <v>422</v>
      </c>
      <c r="G30" s="116" t="s">
        <v>446</v>
      </c>
      <c r="H30" s="116" t="s">
        <v>480</v>
      </c>
      <c r="I30" s="116" t="s">
        <v>520</v>
      </c>
      <c r="J30" s="116" t="s">
        <v>483</v>
      </c>
      <c r="K30" s="116" t="s">
        <v>423</v>
      </c>
    </row>
    <row r="31" spans="1:11" x14ac:dyDescent="0.45">
      <c r="A31" s="147"/>
      <c r="B31" s="148"/>
      <c r="C31" s="128">
        <v>16</v>
      </c>
      <c r="D31" s="126" t="s">
        <v>544</v>
      </c>
      <c r="E31" s="116" t="s">
        <v>541</v>
      </c>
      <c r="F31" s="116" t="s">
        <v>407</v>
      </c>
      <c r="G31" s="116" t="s">
        <v>408</v>
      </c>
      <c r="H31" s="116" t="s">
        <v>427</v>
      </c>
      <c r="I31" s="116" t="s">
        <v>481</v>
      </c>
      <c r="J31" s="116" t="s">
        <v>410</v>
      </c>
      <c r="K31" s="116" t="s">
        <v>517</v>
      </c>
    </row>
    <row r="32" spans="1:11" x14ac:dyDescent="0.45">
      <c r="A32" s="147"/>
      <c r="B32" s="148"/>
      <c r="C32" s="128">
        <v>17</v>
      </c>
      <c r="D32" s="126" t="s">
        <v>525</v>
      </c>
      <c r="E32" s="116" t="s">
        <v>479</v>
      </c>
      <c r="F32" s="116" t="s">
        <v>502</v>
      </c>
      <c r="G32" s="116" t="s">
        <v>521</v>
      </c>
      <c r="H32" s="116" t="s">
        <v>522</v>
      </c>
      <c r="I32" s="116" t="s">
        <v>428</v>
      </c>
      <c r="J32" s="116" t="s">
        <v>461</v>
      </c>
      <c r="K32" s="116" t="s">
        <v>503</v>
      </c>
    </row>
    <row r="33" spans="1:11" x14ac:dyDescent="0.45">
      <c r="A33" s="147"/>
      <c r="B33" s="148"/>
      <c r="C33" s="128">
        <v>18</v>
      </c>
      <c r="D33" s="126" t="s">
        <v>431</v>
      </c>
      <c r="E33" s="116" t="s">
        <v>543</v>
      </c>
      <c r="F33" s="116" t="s">
        <v>482</v>
      </c>
      <c r="G33" s="116" t="s">
        <v>430</v>
      </c>
      <c r="H33" s="116" t="s">
        <v>524</v>
      </c>
      <c r="I33" s="116" t="s">
        <v>460</v>
      </c>
      <c r="J33" s="116" t="s">
        <v>412</v>
      </c>
      <c r="K33" s="116" t="s">
        <v>523</v>
      </c>
    </row>
    <row r="34" spans="1:11" x14ac:dyDescent="0.45">
      <c r="A34" s="147"/>
      <c r="B34" s="148"/>
      <c r="C34" s="128">
        <v>19</v>
      </c>
      <c r="D34" s="126"/>
      <c r="E34" s="116" t="s">
        <v>463</v>
      </c>
      <c r="F34" s="116" t="s">
        <v>465</v>
      </c>
      <c r="G34" s="116"/>
      <c r="H34" s="116" t="s">
        <v>411</v>
      </c>
      <c r="I34" s="116" t="s">
        <v>462</v>
      </c>
      <c r="J34" s="116" t="s">
        <v>464</v>
      </c>
      <c r="K34" s="116" t="s">
        <v>484</v>
      </c>
    </row>
    <row r="35" spans="1:11" x14ac:dyDescent="0.45">
      <c r="A35" s="147"/>
      <c r="B35" s="148"/>
      <c r="C35" s="128">
        <v>20</v>
      </c>
      <c r="D35" s="126"/>
      <c r="E35" s="116"/>
      <c r="F35" s="116"/>
      <c r="G35" s="116"/>
      <c r="H35" s="116"/>
      <c r="I35" s="116"/>
      <c r="J35" s="116"/>
      <c r="K35" s="116"/>
    </row>
    <row r="36" spans="1:11" x14ac:dyDescent="0.45">
      <c r="A36" s="147"/>
      <c r="B36" s="148"/>
      <c r="C36" s="128">
        <v>21</v>
      </c>
      <c r="D36" s="126"/>
      <c r="E36" s="116"/>
      <c r="F36" s="116"/>
      <c r="G36" s="116"/>
      <c r="H36" s="116"/>
      <c r="I36" s="116"/>
      <c r="J36" s="116"/>
      <c r="K36" s="116"/>
    </row>
    <row r="37" spans="1:11" x14ac:dyDescent="0.45">
      <c r="A37" s="147"/>
      <c r="B37" s="148"/>
      <c r="C37" s="128">
        <v>22</v>
      </c>
      <c r="D37" s="126"/>
      <c r="E37" s="116"/>
      <c r="F37" s="116"/>
      <c r="G37" s="116"/>
      <c r="H37" s="116"/>
      <c r="I37" s="116"/>
      <c r="J37" s="116"/>
      <c r="K37" s="116"/>
    </row>
    <row r="38" spans="1:11" x14ac:dyDescent="0.45">
      <c r="A38" s="147"/>
      <c r="B38" s="148"/>
      <c r="C38" s="128">
        <v>23</v>
      </c>
      <c r="D38" s="126"/>
      <c r="E38" s="116"/>
      <c r="F38" s="116"/>
      <c r="G38" s="116"/>
      <c r="H38" s="116"/>
      <c r="I38" s="116"/>
      <c r="J38" s="116"/>
      <c r="K38" s="116"/>
    </row>
    <row r="39" spans="1:11" x14ac:dyDescent="0.45">
      <c r="A39" s="147"/>
      <c r="B39" s="148"/>
      <c r="C39" s="128">
        <v>24</v>
      </c>
      <c r="D39" s="126"/>
      <c r="E39" s="116"/>
      <c r="F39" s="116"/>
      <c r="G39" s="116"/>
      <c r="H39" s="116"/>
      <c r="I39" s="116"/>
      <c r="J39" s="116"/>
      <c r="K39" s="116"/>
    </row>
    <row r="40" spans="1:11" x14ac:dyDescent="0.45">
      <c r="A40" s="147"/>
      <c r="B40" s="148"/>
      <c r="C40" s="128">
        <v>25</v>
      </c>
      <c r="D40" s="126"/>
      <c r="E40" s="116"/>
      <c r="F40" s="116"/>
      <c r="G40" s="116"/>
      <c r="H40" s="116"/>
      <c r="I40" s="116"/>
      <c r="J40" s="116"/>
      <c r="K40" s="116"/>
    </row>
    <row r="41" spans="1:11" x14ac:dyDescent="0.45">
      <c r="A41" s="147"/>
      <c r="B41" s="148"/>
      <c r="C41" s="128">
        <v>26</v>
      </c>
      <c r="D41" s="126"/>
      <c r="E41" s="116"/>
      <c r="F41" s="116"/>
      <c r="G41" s="116"/>
      <c r="H41" s="116"/>
      <c r="I41" s="116"/>
      <c r="J41" s="116"/>
      <c r="K41" s="116"/>
    </row>
    <row r="42" spans="1:11" x14ac:dyDescent="0.45">
      <c r="A42" s="147"/>
      <c r="B42" s="148"/>
      <c r="C42" s="128">
        <v>27</v>
      </c>
      <c r="D42" s="126"/>
      <c r="E42" s="116"/>
      <c r="F42" s="116"/>
      <c r="G42" s="116"/>
      <c r="H42" s="116"/>
      <c r="I42" s="116"/>
      <c r="J42" s="116"/>
      <c r="K42" s="116"/>
    </row>
    <row r="43" spans="1:11" x14ac:dyDescent="0.45">
      <c r="A43" s="147"/>
      <c r="B43" s="148"/>
      <c r="C43" s="128">
        <v>28</v>
      </c>
      <c r="D43" s="126"/>
      <c r="E43" s="116"/>
      <c r="F43" s="116"/>
      <c r="G43" s="116"/>
      <c r="H43" s="116"/>
      <c r="I43" s="116"/>
      <c r="J43" s="116"/>
      <c r="K43" s="116"/>
    </row>
    <row r="44" spans="1:11" x14ac:dyDescent="0.45">
      <c r="A44" s="147"/>
      <c r="B44" s="148"/>
      <c r="C44" s="128">
        <v>29</v>
      </c>
      <c r="D44" s="126"/>
      <c r="E44" s="116"/>
      <c r="F44" s="116"/>
      <c r="G44" s="116"/>
      <c r="H44" s="116"/>
      <c r="I44" s="116"/>
      <c r="J44" s="116"/>
      <c r="K44" s="116"/>
    </row>
    <row r="45" spans="1:11" ht="14.65" thickBot="1" x14ac:dyDescent="0.5">
      <c r="A45" s="149"/>
      <c r="B45" s="150"/>
      <c r="C45" s="129">
        <v>30</v>
      </c>
      <c r="D45" s="126"/>
      <c r="E45" s="116"/>
      <c r="F45" s="116"/>
      <c r="G45" s="116"/>
      <c r="H45" s="116"/>
      <c r="I45" s="116"/>
      <c r="J45" s="116"/>
      <c r="K45" s="116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StudentToClassAssignments">
                <anchor moveWithCells="1" sizeWithCells="1">
                  <from>
                    <xdr:col>0</xdr:col>
                    <xdr:colOff>114300</xdr:colOff>
                    <xdr:row>0</xdr:row>
                    <xdr:rowOff>61913</xdr:rowOff>
                  </from>
                  <to>
                    <xdr:col>2</xdr:col>
                    <xdr:colOff>976313</xdr:colOff>
                    <xdr:row>2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</xdr:col>
                    <xdr:colOff>138113</xdr:colOff>
                    <xdr:row>4</xdr:row>
                    <xdr:rowOff>14288</xdr:rowOff>
                  </from>
                  <to>
                    <xdr:col>1</xdr:col>
                    <xdr:colOff>366713</xdr:colOff>
                    <xdr:row>5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" name="Check Box 65">
              <controlPr defaultSize="0" autoFill="0" autoLine="0" autoPict="0">
                <anchor moveWithCells="1">
                  <from>
                    <xdr:col>1</xdr:col>
                    <xdr:colOff>138113</xdr:colOff>
                    <xdr:row>5</xdr:row>
                    <xdr:rowOff>14288</xdr:rowOff>
                  </from>
                  <to>
                    <xdr:col>1</xdr:col>
                    <xdr:colOff>366713</xdr:colOff>
                    <xdr:row>6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" name="Check Box 66">
              <controlPr defaultSize="0" autoFill="0" autoLine="0" autoPict="0">
                <anchor moveWithCells="1">
                  <from>
                    <xdr:col>1</xdr:col>
                    <xdr:colOff>138113</xdr:colOff>
                    <xdr:row>6</xdr:row>
                    <xdr:rowOff>14288</xdr:rowOff>
                  </from>
                  <to>
                    <xdr:col>1</xdr:col>
                    <xdr:colOff>366713</xdr:colOff>
                    <xdr:row>7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8" name="Check Box 67">
              <controlPr defaultSize="0" autoFill="0" autoLine="0" autoPict="0">
                <anchor moveWithCells="1">
                  <from>
                    <xdr:col>1</xdr:col>
                    <xdr:colOff>138113</xdr:colOff>
                    <xdr:row>7</xdr:row>
                    <xdr:rowOff>14288</xdr:rowOff>
                  </from>
                  <to>
                    <xdr:col>1</xdr:col>
                    <xdr:colOff>366713</xdr:colOff>
                    <xdr:row>8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9" name="Check Box 68">
              <controlPr defaultSize="0" autoFill="0" autoLine="0" autoPict="0">
                <anchor moveWithCells="1">
                  <from>
                    <xdr:col>1</xdr:col>
                    <xdr:colOff>138113</xdr:colOff>
                    <xdr:row>8</xdr:row>
                    <xdr:rowOff>14288</xdr:rowOff>
                  </from>
                  <to>
                    <xdr:col>1</xdr:col>
                    <xdr:colOff>366713</xdr:colOff>
                    <xdr:row>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10" name="Check Box 69">
              <controlPr defaultSize="0" autoFill="0" autoLine="0" autoPict="0">
                <anchor moveWithCells="1">
                  <from>
                    <xdr:col>1</xdr:col>
                    <xdr:colOff>138113</xdr:colOff>
                    <xdr:row>9</xdr:row>
                    <xdr:rowOff>14288</xdr:rowOff>
                  </from>
                  <to>
                    <xdr:col>1</xdr:col>
                    <xdr:colOff>366713</xdr:colOff>
                    <xdr:row>10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11" name="Check Box 70">
              <controlPr defaultSize="0" autoFill="0" autoLine="0" autoPict="0">
                <anchor moveWithCells="1">
                  <from>
                    <xdr:col>1</xdr:col>
                    <xdr:colOff>138113</xdr:colOff>
                    <xdr:row>10</xdr:row>
                    <xdr:rowOff>14288</xdr:rowOff>
                  </from>
                  <to>
                    <xdr:col>1</xdr:col>
                    <xdr:colOff>366713</xdr:colOff>
                    <xdr:row>11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12" name="Check Box 71">
              <controlPr defaultSize="0" autoFill="0" autoLine="0" autoPict="0">
                <anchor moveWithCells="1">
                  <from>
                    <xdr:col>1</xdr:col>
                    <xdr:colOff>138113</xdr:colOff>
                    <xdr:row>11</xdr:row>
                    <xdr:rowOff>14288</xdr:rowOff>
                  </from>
                  <to>
                    <xdr:col>1</xdr:col>
                    <xdr:colOff>366713</xdr:colOff>
                    <xdr:row>12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13" name="Check Box 72">
              <controlPr defaultSize="0" autoFill="0" autoLine="0" autoPict="0">
                <anchor moveWithCells="1">
                  <from>
                    <xdr:col>1</xdr:col>
                    <xdr:colOff>138113</xdr:colOff>
                    <xdr:row>12</xdr:row>
                    <xdr:rowOff>14288</xdr:rowOff>
                  </from>
                  <to>
                    <xdr:col>1</xdr:col>
                    <xdr:colOff>366713</xdr:colOff>
                    <xdr:row>13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14" name="Check Box 73">
              <controlPr defaultSize="0" autoFill="0" autoLine="0" autoPict="0">
                <anchor moveWithCells="1">
                  <from>
                    <xdr:col>1</xdr:col>
                    <xdr:colOff>138113</xdr:colOff>
                    <xdr:row>13</xdr:row>
                    <xdr:rowOff>14288</xdr:rowOff>
                  </from>
                  <to>
                    <xdr:col>1</xdr:col>
                    <xdr:colOff>366713</xdr:colOff>
                    <xdr:row>14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Data Sheet</vt:lpstr>
      <vt:lpstr>AssignmentModel</vt:lpstr>
      <vt:lpstr>StudentToClassAssignments</vt:lpstr>
      <vt:lpstr>DecVars</vt:lpstr>
      <vt:lpstr>ProbStud</vt:lpstr>
      <vt:lpstr>ProficLike</vt:lpstr>
      <vt:lpstr>StudAssignName</vt:lpstr>
      <vt:lpstr>StudNames</vt:lpstr>
      <vt:lpstr>VAMpred</vt:lpstr>
    </vt:vector>
  </TitlesOfParts>
  <Company>Bucknell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Bailey</dc:creator>
  <cp:lastModifiedBy>Matt D. Bailey</cp:lastModifiedBy>
  <cp:lastPrinted>2018-06-21T16:51:49Z</cp:lastPrinted>
  <dcterms:created xsi:type="dcterms:W3CDTF">2018-03-31T12:34:39Z</dcterms:created>
  <dcterms:modified xsi:type="dcterms:W3CDTF">2019-08-13T19:05:52Z</dcterms:modified>
</cp:coreProperties>
</file>